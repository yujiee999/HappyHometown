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c817e92e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c9f418b826b446a"/>
    <x:sheet xmlns:r="http://schemas.openxmlformats.org/officeDocument/2006/relationships" name="当前岗位" sheetId="2" r:id="Ra8760caf88f344f9"/>
    <x:sheet xmlns:r="http://schemas.openxmlformats.org/officeDocument/2006/relationships" name="目标实验室" sheetId="3" r:id="R01b64d31ee394070"/>
    <x:sheet xmlns:r="http://schemas.openxmlformats.org/officeDocument/2006/relationships" name="Fellowship" sheetId="4" r:id="Rf126dd0cf1d9442c"/>
    <x:sheet xmlns:r="http://schemas.openxmlformats.org/officeDocument/2006/relationships" name="行动计划" sheetId="5" r:id="R2c4e926d3f84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65563"/>
      <x:name val="Carlito"/>
    </x:font>
    <x:font>
      <x:b/>
      <x:sz val="11"/>
      <x:color rgb="FF17324D"/>
      <x:name val="Carlito"/>
    </x:font>
    <x:font>
      <x:b/>
      <x:sz val="11"/>
      <x:color rgb="FF0F766E"/>
      <x:name val="Carlito"/>
    </x:font>
    <x:font>
      <x:sz val="11"/>
      <x:color rgb="FF1720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8FA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E8EDF2"/>
      </x:patternFill>
    </x:fill>
    <x:fill>
      <x:patternFill patternType="solid">
        <x:fgColor rgb="FFFFF1CC"/>
      </x:patternFill>
    </x:fill>
  </x:fills>
  <x:borders count="15">
    <x:border/>
    <x:border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top style="thin">
        <x:color rgb="FFC7D0D9"/>
      </x:top>
      <x:bottom style="thin">
        <x:color rgb="FFC7D0D9"/>
      </x:bottom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  <x:right style="thin">
        <x:color rgb="FFC7D0D9"/>
      </x:right>
      <x:top style="thin">
        <x:color rgb="FFC7D0D9"/>
      </x:top>
    </x:border>
    <x:border>
      <x:left style="thin">
        <x:color rgb="FFC7D0D9"/>
      </x:left>
      <x:top style="thin">
        <x:color rgb="FFC7D0D9"/>
      </x:top>
    </x:border>
    <x:border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7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3" xfId="0" applyNumberFormat="1" applyFont="1" applyFill="1" applyBorder="1"/>
    <x:xf numFmtId="0" fontId="0" fillId="3" borderId="13" xfId="0" applyNumberFormat="1" applyFont="1" applyFill="1" applyBorder="1"/>
    <x:xf numFmtId="0" fontId="0" fillId="3" borderId="1" xfId="0" applyNumberFormat="1" applyFont="1" applyFill="1" applyBorder="1"/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/>
    <x:xf numFmtId="0" fontId="1" fillId="6" borderId="14" xfId="0" applyNumberFormat="1" applyFont="1" applyFill="1" applyBorder="1"/>
    <x:xf numFmtId="0" fontId="1" fillId="6" borderId="4" xfId="0" applyNumberFormat="1" applyFont="1" applyFill="1" applyBorder="1"/>
    <x:xf numFmtId="0" fontId="1" fillId="6" borderId="6" xfId="0" applyNumberFormat="1" applyFont="1" applyFill="1" applyBorder="1" applyAlignment="1">
      <x:alignment wrapText="1"/>
    </x:xf>
    <x:xf numFmtId="0" fontId="1" fillId="6" borderId="14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horizontal="center" wrapText="1"/>
    </x:xf>
    <x:xf numFmtId="0" fontId="1" fillId="6" borderId="14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1" fillId="6" borderId="14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201" fontId="5" fillId="0" borderId="13" xfId="0" applyNumberFormat="1" applyFont="1" applyFill="1" applyBorder="1" applyAlignment="1">
      <x:alignment vertical="top" wrapText="1"/>
    </x:xf>
    <x:xf numFmtId="201" fontId="5" fillId="0" borderId="14" xfId="0" applyNumberFormat="1" applyFont="1" applyFill="1" applyBorder="1" applyAlignment="1">
      <x:alignment vertical="top" wrapText="1"/>
    </x:xf>
    <x:xf numFmtId="201" fontId="5" fillId="0" borderId="13" xfId="0" applyNumberFormat="1" applyFont="1" applyFill="1" applyBorder="1" applyAlignment="1">
      <x:alignment horizontal="center" vertical="top" wrapText="1"/>
    </x:xf>
    <x:xf numFmtId="201" fontId="5" fillId="0" borderId="14" xfId="0" applyNumberFormat="1" applyFont="1" applyFill="1" applyBorder="1" applyAlignment="1">
      <x:alignment horizontal="center" vertical="top" wrapText="1"/>
    </x:xf>
    <x:xf numFmtId="201" fontId="5" fillId="0" borderId="13" xfId="0" applyNumberFormat="1" applyFont="1" applyFill="1" applyBorder="1" applyAlignment="1">
      <x:alignment horizontal="center" vertical="center" wrapText="1"/>
    </x:xf>
    <x:xf numFmtId="201" fontId="5" fillId="0" borderId="14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202" fontId="5" fillId="0" borderId="13" xfId="0" applyNumberFormat="1" applyFont="1" applyFill="1" applyBorder="1" applyAlignment="1">
      <x:alignment vertical="top" wrapText="1"/>
    </x:xf>
    <x:xf numFmtId="202" fontId="5" fillId="0" borderId="14" xfId="0" applyNumberFormat="1" applyFont="1" applyFill="1" applyBorder="1" applyAlignment="1">
      <x:alignment vertical="top" wrapText="1"/>
    </x:xf>
    <x:xf numFmtId="202" fontId="5" fillId="0" borderId="13" xfId="0" applyNumberFormat="1" applyFont="1" applyFill="1" applyBorder="1" applyAlignment="1">
      <x:alignment horizontal="center" vertical="top" wrapText="1"/>
    </x:xf>
    <x:xf numFmtId="202" fontId="5" fillId="0" borderId="14" xfId="0" applyNumberFormat="1" applyFont="1" applyFill="1" applyBorder="1" applyAlignment="1">
      <x:alignment horizontal="center" vertical="top" wrapText="1"/>
    </x:xf>
    <x:xf numFmtId="202" fontId="5" fillId="0" borderId="13" xfId="0" applyNumberFormat="1" applyFont="1" applyFill="1" applyBorder="1" applyAlignment="1">
      <x:alignment horizontal="center" vertical="center" wrapText="1"/>
    </x:xf>
    <x:xf numFmtId="202" fontId="5" fillId="0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146B3A"/>
      </x:font>
      <x:fill>
        <x:patternFill patternType="solid">
          <x:bgColor rgb="FFDDF3E4"/>
        </x:patternFill>
      </x:fill>
    </x:dxf>
    <x:dxf>
      <x:font>
        <x:b/>
        <x:color rgb="FF245A86"/>
      </x:font>
      <x:fill>
        <x:patternFill patternType="solid">
          <x:bgColor rgb="FFDCEAF7"/>
        </x:patternFill>
      </x:fill>
    </x:dxf>
    <x:dxf>
      <x:font>
        <x:b/>
        <x:color rgb="FF815B00"/>
      </x:font>
      <x:fill>
        <x:patternFill patternType="solid">
          <x:bgColor rgb="FFFFF1CC"/>
        </x:patternFill>
      </x:fill>
    </x:dxf>
    <x:dxf>
      <x:font>
        <x:b/>
        <x:color rgb="FF4A5864"/>
      </x:font>
      <x:fill>
        <x:patternFill patternType="solid">
          <x:bgColor rgb="FFE8EDF2"/>
        </x:patternFill>
      </x:fill>
    </x:dxf>
    <x:dxf>
      <x:font>
        <x:b/>
        <x:color rgb="FF146B3A"/>
      </x:font>
      <x:fill>
        <x:patternFill patternType="solid">
          <x:bgColor rgb="FFDDF3E4"/>
        </x:patternFill>
      </x:fill>
    </x:dxf>
    <x:dxf>
      <x:font>
        <x:b/>
        <x:color rgb="FF245A86"/>
      </x:font>
      <x:fill>
        <x:patternFill patternType="solid">
          <x:bgColor rgb="FFDCEAF7"/>
        </x:patternFill>
      </x:fill>
    </x:dxf>
    <x:dxf>
      <x:font>
        <x:b/>
        <x:color rgb="FF146B3A"/>
      </x:font>
      <x:fill>
        <x:patternFill patternType="solid">
          <x:bgColor rgb="FFDDF3E4"/>
        </x:patternFill>
      </x:fill>
    </x:dxf>
    <x:dxf>
      <x:font>
        <x:b/>
        <x:color rgb="FF245A86"/>
      </x:font>
      <x:fill>
        <x:patternFill patternType="solid">
          <x:bgColor rgb="FFDCEAF7"/>
        </x:patternFill>
      </x:fill>
    </x:dxf>
    <x:dxf>
      <x:font>
        <x:b/>
        <x:color rgb="FF815B00"/>
      </x:font>
      <x:fill>
        <x:patternFill patternType="solid">
          <x:bgColor rgb="FFFFF1CC"/>
        </x:patternFill>
      </x:fill>
    </x:dxf>
    <x:dxf>
      <x:font>
        <x:b/>
        <x:color rgb="FF4A5864"/>
      </x:font>
      <x:fill>
        <x:patternFill patternType="solid">
          <x:bgColor rgb="FFE8EDF2"/>
        </x:patternFill>
      </x:fill>
    </x:dxf>
    <x:dxf>
      <x:font>
        <x:b/>
        <x:color rgb="FF146B3A"/>
      </x:font>
      <x:fill>
        <x:patternFill patternType="solid">
          <x:bgColor rgb="FFDDF3E4"/>
        </x:patternFill>
      </x:fill>
    </x:dxf>
    <x:dxf>
      <x:font>
        <x:b/>
        <x:color rgb="FF815B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44197a4e44ca8" /><Relationship Type="http://schemas.openxmlformats.org/officeDocument/2006/relationships/theme" Target="/xl/theme/theme1.xml" Id="Rb73a927968aa42ee" /><Relationship Type="http://schemas.openxmlformats.org/officeDocument/2006/relationships/sharedStrings" Target="/xl/sharedStrings.xml" Id="R97f09615c9cc4e10" /><Relationship Type="http://schemas.openxmlformats.org/officeDocument/2006/relationships/worksheet" Target="/xl/worksheets/sheet1.xml" Id="Rec9f418b826b446a" /><Relationship Type="http://schemas.openxmlformats.org/officeDocument/2006/relationships/worksheet" Target="/xl/worksheets/sheet2.xml" Id="Ra8760caf88f344f9" /><Relationship Type="http://schemas.openxmlformats.org/officeDocument/2006/relationships/worksheet" Target="/xl/worksheets/sheet3.xml" Id="R01b64d31ee394070" /><Relationship Type="http://schemas.openxmlformats.org/officeDocument/2006/relationships/worksheet" Target="/xl/worksheets/sheet4.xml" Id="Rf126dd0cf1d9442c" /><Relationship Type="http://schemas.openxmlformats.org/officeDocument/2006/relationships/worksheet" Target="/xl/worksheets/sheet5.xml" Id="R2c4e926d3f8446ad" /></Relationships>
</file>

<file path=xl/tables/table1.xml><?xml version="1.0" encoding="utf-8"?>
<x:table xmlns:x="http://schemas.openxmlformats.org/spreadsheetml/2006/main" id="1" name="OpenPositionsTable" displayName="OpenPositionsTable" ref="A1:O15" headerRowCount="1">
  <x:autoFilter ref="A1:O15"/>
  <x:tableColumns count="15">
    <x:tableColumn id="1" name="优先级"/>
    <x:tableColumn id="2" name="PI/岗位"/>
    <x:tableColumn id="3" name="机构"/>
    <x:tableColumn id="4" name="地区"/>
    <x:tableColumn id="5" name="招聘状态"/>
    <x:tableColumn id="6" name="研究方向"/>
    <x:tableColumn id="7" name="科学匹配"/>
    <x:tableColumn id="8" name="技能增量"/>
    <x:tableColumn id="9" name="2027 时间适配"/>
    <x:tableColumn id="10" name="综合评分"/>
    <x:tableColumn id="11" name="湿实验强度"/>
    <x:tableColumn id="12" name="建议动作"/>
    <x:tableColumn id="13" name="申请状态"/>
    <x:tableColumn id="14" name="截止/入职"/>
    <x:tableColumn id="15" name="官网"/>
  </x:tableColumns>
  <x:tableStyleInfo name="TableStyleMedium2" showRowStripes="1"/>
</x:table>
</file>

<file path=xl/tables/table2.xml><?xml version="1.0" encoding="utf-8"?>
<x:table xmlns:x="http://schemas.openxmlformats.org/spreadsheetml/2006/main" id="2" name="TargetLabsTable" displayName="TargetLabsTable" ref="A1:N17" headerRowCount="1">
  <x:autoFilter ref="A1:N17"/>
  <x:tableColumns count="14">
    <x:tableColumn id="1" name="梯队"/>
    <x:tableColumn id="2" name="PI/实验室"/>
    <x:tableColumn id="3" name="机构"/>
    <x:tableColumn id="4" name="地区"/>
    <x:tableColumn id="5" name="结合点"/>
    <x:tableColumn id="6" name="最合适切入点"/>
    <x:tableColumn id="7" name="科学匹配"/>
    <x:tableColumn id="8" name="技能增量"/>
    <x:tableColumn id="9" name="2027 时间适配"/>
    <x:tableColumn id="10" name="综合评分"/>
    <x:tableColumn id="11" name="湿实验强度"/>
    <x:tableColumn id="12" name="当前信号"/>
    <x:tableColumn id="13" name="联系状态"/>
    <x:tableColumn id="14" name="官网"/>
  </x:tableColumns>
  <x:tableStyleInfo name="TableStyleMedium4" showRowStripes="1"/>
</x:table>
</file>

<file path=xl/tables/table3.xml><?xml version="1.0" encoding="utf-8"?>
<x:table xmlns:x="http://schemas.openxmlformats.org/spreadsheetml/2006/main" id="3" name="FellowshipsTable" displayName="FellowshipsTable" ref="A1:K6" headerRowCount="1">
  <x:autoFilter ref="A1:K6"/>
  <x:tableColumns count="11">
    <x:tableColumn id="1" name="优先级"/>
    <x:tableColumn id="2" name="Fellowship"/>
    <x:tableColumn id="3" name="适用地区"/>
    <x:tableColumn id="4" name="下一相关时间"/>
    <x:tableColumn id="5" name="博士学位条件"/>
    <x:tableColumn id="6" name="国籍条件"/>
    <x:tableColumn id="7" name="Host/Sponsor 要求"/>
    <x:tableColumn id="8" name="匹配度"/>
    <x:tableColumn id="9" name="建议动作"/>
    <x:tableColumn id="10" name="准备状态"/>
    <x:tableColumn id="11" name="官网"/>
  </x:tableColumns>
  <x:tableStyleInfo name="TableStyleMedium9" showRowStripes="1"/>
</x:table>
</file>

<file path=xl/tables/table4.xml><?xml version="1.0" encoding="utf-8"?>
<x:table xmlns:x="http://schemas.openxmlformats.org/spreadsheetml/2006/main" id="4" name="ActionPlanTable" displayName="ActionPlanTable" ref="A1:F13" headerRowCount="1">
  <x:autoFilter ref="A1:F13"/>
  <x:tableColumns count="6">
    <x:tableColumn id="1" name="目标日期"/>
    <x:tableColumn id="2" name="任务"/>
    <x:tableColumn id="3" name="对象/范围"/>
    <x:tableColumn id="4" name="交付物"/>
    <x:tableColumn id="5" name="状态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2ea10aeb8d4b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3eff1c2fc446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be3f4f31c140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f59f7015714e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4" hidden="0" customWidth="1"/>
    <x:col min="5" max="5" width="16" hidden="0" customWidth="1"/>
    <x:col min="6" max="6" width="26" hidden="0" customWidth="1"/>
    <x:col min="7" max="7" width="16" hidden="0" customWidth="1"/>
    <x:col min="8" max="8" width="34" hidden="0" customWidth="1"/>
  </x:cols>
  <x:sheetData>
    <x:row r="1" ht="34" customHeight="1">
      <x:c r="A1" s="4" t="str">
        <x:v>2027 年海外博后检索：器官特异性乳腺癌转移</x:v>
      </x:c>
      <x:c r="B1" s="4" t="str">
        <x:v>2027 年海外博后检索：器官特异性乳腺癌转移</x:v>
      </x:c>
      <x:c r="C1" s="4" t="str">
        <x:v>2027 年海外博后检索：器官特异性乳腺癌转移</x:v>
      </x:c>
      <x:c r="D1" s="4" t="str">
        <x:v>2027 年海外博后检索：器官特异性乳腺癌转移</x:v>
      </x:c>
      <x:c r="E1" s="4" t="str">
        <x:v>2027 年海外博后检索：器官特异性乳腺癌转移</x:v>
      </x:c>
      <x:c r="F1" s="4" t="str">
        <x:v>2027 年海外博后检索：器官特异性乳腺癌转移</x:v>
      </x:c>
      <x:c r="G1" s="4" t="str">
        <x:v>2027 年海外博后检索：器官特异性乳腺癌转移</x:v>
      </x:c>
      <x:c r="H1" s="4" t="str">
        <x:v>2027 年海外博后检索：器官特异性乳腺癌转移</x:v>
      </x:c>
    </x:row>
    <x:row r="2">
      <x:c r="A2" s="7" t="str">
        <x:v>最后核验：2026-06-30。假设以计算研究为主，目标为 2027 年毕业后入职。</x:v>
      </x:c>
      <x:c r="B2" s="7" t="str">
        <x:v>最后核验：2026-06-30。假设以计算研究为主，目标为 2027 年毕业后入职。</x:v>
      </x:c>
      <x:c r="C2" s="7" t="str">
        <x:v>最后核验：2026-06-30。假设以计算研究为主，目标为 2027 年毕业后入职。</x:v>
      </x:c>
      <x:c r="D2" s="7" t="str">
        <x:v>最后核验：2026-06-30。假设以计算研究为主，目标为 2027 年毕业后入职。</x:v>
      </x:c>
      <x:c r="E2" s="7" t="str">
        <x:v>最后核验：2026-06-30。假设以计算研究为主，目标为 2027 年毕业后入职。</x:v>
      </x:c>
      <x:c r="F2" s="7" t="str">
        <x:v>最后核验：2026-06-30。假设以计算研究为主，目标为 2027 年毕业后入职。</x:v>
      </x:c>
      <x:c r="G2" s="7" t="str">
        <x:v>最后核验：2026-06-30。假设以计算研究为主，目标为 2027 年毕业后入职。</x:v>
      </x:c>
      <x:c r="H2" s="7" t="str">
        <x:v>最后核验：2026-06-30。假设以计算研究为主，目标为 2027 年毕业后入职。</x:v>
      </x:c>
    </x:row>
    <x:row r="4">
      <x:c r="A4" s="10" t="str">
        <x:v>公开/明确岗位数</x:v>
      </x:c>
      <x:c r="B4" s="10" t="str"/>
      <x:c r="C4" s="10" t="str">
        <x:v>A+ 岗位数</x:v>
      </x:c>
      <x:c r="D4" s="10" t="str"/>
      <x:c r="E4" s="10" t="str">
        <x:v>第一梯队实验室</x:v>
      </x:c>
      <x:c r="F4" s="10" t="str"/>
      <x:c r="G4" s="10" t="str">
        <x:v>重点 Fellowship</x:v>
      </x:c>
      <x:c r="H4" s="10" t="str"/>
    </x:row>
    <x:row r="5">
      <x:c r="A5" s="14" t="n">
        <x:f>COUNTA('当前岗位'!B2:B15)</x:f>
        <x:v>14</x:v>
      </x:c>
      <x:c r="B5" s="14" t="str">
        <x:v>项</x:v>
      </x:c>
      <x:c r="C5" s="14" t="n">
        <x:f>COUNTIF('当前岗位'!A2:A15,"A+")</x:f>
        <x:v>3</x:v>
      </x:c>
      <x:c r="D5" s="14" t="str">
        <x:v>项</x:v>
      </x:c>
      <x:c r="E5" s="14" t="n">
        <x:f>COUNTIF('目标实验室'!A2:A17,1)</x:f>
        <x:v>7</x:v>
      </x:c>
      <x:c r="F5" s="14" t="str">
        <x:v>组</x:v>
      </x:c>
      <x:c r="G5" s="14" t="n">
        <x:f>COUNTIF('Fellowship'!A2:A6,"A+")</x:f>
        <x:v>2</x:v>
      </x:c>
      <x:c r="H5" s="14" t="str">
        <x:v>项</x:v>
      </x:c>
    </x:row>
    <x:row r="7">
      <x:c r="A7" s="16" t="str">
        <x:v>最推荐的第一批联系对象</x:v>
      </x:c>
      <x:c r="B7" s="16" t="str">
        <x:v>最推荐的第一批联系对象</x:v>
      </x:c>
      <x:c r="C7" s="16" t="str">
        <x:v>最推荐的第一批联系对象</x:v>
      </x:c>
      <x:c r="D7" s="16" t="str">
        <x:v>最推荐的第一批联系对象</x:v>
      </x:c>
      <x:c r="E7" s="16" t="str">
        <x:v>最推荐的第一批联系对象</x:v>
      </x:c>
      <x:c r="F7" s="16" t="str">
        <x:v>最推荐的第一批联系对象</x:v>
      </x:c>
      <x:c r="G7" s="16" t="str">
        <x:v>最推荐的第一批联系对象</x:v>
      </x:c>
      <x:c r="H7" s="16" t="str">
        <x:v>最推荐的第一批联系对象</x:v>
      </x:c>
    </x:row>
    <x:row r="8">
      <x:c r="A8" s="35" t="str">
        <x:v>1</x:v>
      </x:c>
      <x:c r="B8" s="36" t="str">
        <x:v>Christina Curtis</x:v>
      </x:c>
      <x:c r="C8" s="36" t="str">
        <x:v>Stanford</x:v>
      </x:c>
      <x:c r="D8" s="36" t="str">
        <x:v>配对原发/转移、乳腺癌进化</x:v>
      </x:c>
      <x:c r="E8" s="36" t="str">
        <x:v>2</x:v>
      </x:c>
      <x:c r="F8" s="36" t="str">
        <x:v>Alex Swarbrick</x:v>
      </x:c>
      <x:c r="G8" s="36" t="str">
        <x:v>Garvan</x:v>
      </x:c>
      <x:c r="H8" s="37" t="str">
        <x:v>乳腺癌空间生态与转移样本</x:v>
      </x:c>
    </x:row>
    <x:row r="9">
      <x:c r="A9" s="38" t="str">
        <x:v>3</x:v>
      </x:c>
      <x:c r="B9" s="39" t="str">
        <x:v>Johanna Joyce</x:v>
      </x:c>
      <x:c r="C9" s="39" t="str">
        <x:v>Lausanne</x:v>
      </x:c>
      <x:c r="D9" s="39" t="str">
        <x:v>脑转移与微环境机制</x:v>
      </x:c>
      <x:c r="E9" s="39" t="str">
        <x:v>4</x:v>
      </x:c>
      <x:c r="F9" s="39" t="str">
        <x:v>Sohrab Shah</x:v>
      </x:c>
      <x:c r="G9" s="39" t="str">
        <x:v>MSK</x:v>
      </x:c>
      <x:c r="H9" s="40" t="str">
        <x:v>乳腺/卵巢单细胞进化</x:v>
      </x:c>
    </x:row>
    <x:row r="10">
      <x:c r="A10" s="38" t="str">
        <x:v>5</x:v>
      </x:c>
      <x:c r="B10" s="39" t="str">
        <x:v>Dana Pe'er</x:v>
      </x:c>
      <x:c r="C10" s="39" t="str">
        <x:v>MSK</x:v>
      </x:c>
      <x:c r="D10" s="39" t="str">
        <x:v>多细胞系统与方法开发</x:v>
      </x:c>
      <x:c r="E10" s="39" t="str">
        <x:v>6</x:v>
      </x:c>
      <x:c r="F10" s="39" t="str">
        <x:v>Lambrechts + Saeys</x:v>
      </x:c>
      <x:c r="G10" s="39" t="str">
        <x:v>VIB</x:v>
      </x:c>
      <x:c r="H10" s="40" t="str">
        <x:v>空间 TME 与细胞通讯</x:v>
      </x:c>
    </x:row>
    <x:row r="11">
      <x:c r="A11" s="41" t="str">
        <x:v>7</x:v>
      </x:c>
      <x:c r="B11" s="42" t="str">
        <x:v>Sylvia Plevritis</x:v>
      </x:c>
      <x:c r="C11" s="42" t="str">
        <x:v>Stanford</x:v>
      </x:c>
      <x:c r="D11" s="42" t="str">
        <x:v>当前有高度匹配公开岗位</x:v>
      </x:c>
      <x:c r="E11" s="42" t="str">
        <x:v>8</x:v>
      </x:c>
      <x:c r="F11" s="42" t="str">
        <x:v>Gu Lab</x:v>
      </x:c>
      <x:c r="G11" s="42" t="str">
        <x:v>UW</x:v>
      </x:c>
      <x:c r="H11" s="43" t="str">
        <x:v>空间组学方法强备选</x:v>
      </x:c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s="45" t="str">
        <x:v>核心策略</x:v>
      </x:c>
      <x:c r="B13" s="45" t="str">
        <x:v>博士阶段已具备</x:v>
      </x:c>
      <x:c r="C13" s="45" t="str"/>
      <x:c r="D13" s="45" t="str"/>
      <x:c r="E13" s="47" t="str">
        <x:v>博后应新增</x:v>
      </x:c>
      <x:c r="F13" s="47" t="str"/>
      <x:c r="G13" s="47" t="str"/>
      <x:c r="H13" s="47" t="str"/>
    </x:row>
    <x:row r="14">
      <x:c r="A14" s="49" t="str">
        <x:v>器官特异性免疫生态、CoVarNet、LR/CellChat、配对设计</x:v>
      </x:c>
      <x:c r="B14" s="49" t="str">
        <x:v>器官特异性免疫生态、CoVarNet、LR/CellChat、配对设计</x:v>
      </x:c>
      <x:c r="C14" s="49" t="str"/>
      <x:c r="D14" s="49" t="str"/>
      <x:c r="E14" s="49" t="str">
        <x:v>空间多组学、功能扰动、纵向进化或方法开发</x:v>
      </x:c>
      <x:c r="F14" s="49" t="str"/>
      <x:c r="G14" s="49" t="str"/>
      <x:c r="H14" s="49" t="str"/>
    </x:row>
    <x:row r="16">
      <x:c r="A16" s="16" t="str">
        <x:v>英文定位段落</x:v>
      </x:c>
      <x:c r="B16" s="16" t="str">
        <x:v>英文定位段落</x:v>
      </x:c>
      <x:c r="C16" s="16" t="str">
        <x:v>英文定位段落</x:v>
      </x:c>
      <x:c r="D16" s="16" t="str">
        <x:v>英文定位段落</x:v>
      </x:c>
      <x:c r="E16" s="16" t="str">
        <x:v>英文定位段落</x:v>
      </x:c>
      <x:c r="F16" s="16" t="str">
        <x:v>英文定位段落</x:v>
      </x:c>
      <x:c r="G16" s="16" t="str">
        <x:v>英文定位段落</x:v>
      </x:c>
      <x:c r="H16" s="16" t="str">
        <x:v>英文定位段落</x:v>
      </x:c>
    </x:row>
    <x:row r="17" ht="24" customHeight="1">
      <x:c r="A17" s="67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B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C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D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E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F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G17" s="68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H17" s="69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</x:row>
    <x:row r="18" ht="24" customHeight="1">
      <x:c r="A18" s="70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B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C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D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E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F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G18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H18" s="72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</x:row>
    <x:row r="19" ht="24" customHeight="1">
      <x:c r="A19" s="70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B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C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D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E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F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G19" s="71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H19" s="72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</x:row>
    <x:row r="20" ht="24" customHeight="1">
      <x:c r="A20" s="73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B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C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D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E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F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G20" s="74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  <x:c r="H20" s="75" t="str">
        <x:v>My doctoral work investigates how organ-specific metastatic niches reshape immune ecology in paired primary and metastatic breast cancers. By integrating single-cell transcriptomics with sample-level multicellular network modeling, ligand-receptor and CellChat inference, and clinical and metabolic analyses, I identified distinct immune-stromal modules across lung, brain, ovarian, and chest-wall metastases. For my postdoctoral work, I hope to combine this module-centered framework with spatial multi-omics and functional perturbation to determine how metastatic organs assemble and stabilize distinct immune ecosystems.</x:v>
      </x:c>
    </x:row>
  </x:sheetData>
  <x:mergeCells>
    <x:mergeCell ref="A1:H1"/>
    <x:mergeCell ref="A2:H2"/>
    <x:mergeCell ref="A7:H7"/>
    <x:mergeCell ref="A14:D14"/>
    <x:mergeCell ref="E14:H14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6" hidden="0" customWidth="1"/>
    <x:col min="4" max="4" width="11" hidden="0" customWidth="1"/>
    <x:col min="5" max="5" width="16" hidden="0" customWidth="1"/>
    <x:col min="6" max="6" width="52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44" hidden="0" customWidth="1"/>
    <x:col min="13" max="13" width="12" hidden="0" customWidth="1"/>
    <x:col min="14" max="14" width="24" hidden="0" customWidth="1"/>
    <x:col min="15" max="15" width="58" hidden="0" customWidth="1"/>
  </x:cols>
  <x:sheetData>
    <x:row r="1" ht="32" customHeight="1">
      <x:c r="A1" s="85" t="str">
        <x:v>优先级</x:v>
      </x:c>
      <x:c r="B1" s="86" t="str">
        <x:v>PI/岗位</x:v>
      </x:c>
      <x:c r="C1" s="86" t="str">
        <x:v>机构</x:v>
      </x:c>
      <x:c r="D1" s="86" t="str">
        <x:v>地区</x:v>
      </x:c>
      <x:c r="E1" s="86" t="str">
        <x:v>招聘状态</x:v>
      </x:c>
      <x:c r="F1" s="86" t="str">
        <x:v>研究方向</x:v>
      </x:c>
      <x:c r="G1" s="86" t="str">
        <x:v>科学匹配</x:v>
      </x:c>
      <x:c r="H1" s="86" t="str">
        <x:v>技能增量</x:v>
      </x:c>
      <x:c r="I1" s="86" t="str">
        <x:v>2027 时间适配</x:v>
      </x:c>
      <x:c r="J1" s="86" t="str">
        <x:v>综合评分</x:v>
      </x:c>
      <x:c r="K1" s="86" t="str">
        <x:v>湿实验强度</x:v>
      </x:c>
      <x:c r="L1" s="86" t="str">
        <x:v>建议动作</x:v>
      </x:c>
      <x:c r="M1" s="86" t="str">
        <x:v>申请状态</x:v>
      </x:c>
      <x:c r="N1" s="86" t="str">
        <x:v>截止/入职</x:v>
      </x:c>
      <x:c r="O1" s="87" t="str">
        <x:v>官网</x:v>
      </x:c>
    </x:row>
    <x:row r="2" ht="54" customHeight="1">
      <x:c r="A2" s="101" t="str">
        <x:v>A+</x:v>
      </x:c>
      <x:c r="B2" s="93" t="str">
        <x:v>Sylvia Plevritis Lab - Computational Biology Postdoc</x:v>
      </x:c>
      <x:c r="C2" s="93" t="str">
        <x:v>Stanford University</x:v>
      </x:c>
      <x:c r="D2" s="93" t="str">
        <x:v>美国</x:v>
      </x:c>
      <x:c r="E2" s="93" t="str">
        <x:v>公开招聘</x:v>
      </x:c>
      <x:c r="F2" s="93" t="str">
        <x:v>scRNA-seq、空间转录组、多重 IF；免疫-基质-肿瘤互作、侵袭与转移</x:v>
      </x:c>
      <x:c r="G2" s="99" t="n">
        <x:v>5</x:v>
      </x:c>
      <x:c r="H2" s="99" t="n">
        <x:v>5</x:v>
      </x:c>
      <x:c r="I2" s="99" t="n">
        <x:v>3</x:v>
      </x:c>
      <x:c r="J2" s="99" t="n">
        <x:f>ROUND(G2*0.5+H2*0.3+I2*0.2,1)</x:f>
        <x:v>4.6</x:v>
      </x:c>
      <x:c r="K2" s="101" t="str">
        <x:v>低</x:v>
      </x:c>
      <x:c r="L2" s="93" t="str">
        <x:v>现在联系，询问 2027 入职或 fellowship 支持的延迟入职</x:v>
      </x:c>
      <x:c r="M2" s="101" t="str">
        <x:v>未联系</x:v>
      </x:c>
      <x:c r="N2" s="93" t="str">
        <x:v>ASAP；页面仍开放</x:v>
      </x:c>
      <x:c r="O2" s="93" t="str">
        <x:v>https://postdocs.stanford.edu/prospective/opportunities/open-postdoctoral-position-faculty-mentor-sylvia-plevritis</x:v>
      </x:c>
    </x:row>
    <x:row r="3" ht="54" customHeight="1">
      <x:c r="A3" s="102" t="str">
        <x:v>A+</x:v>
      </x:c>
      <x:c r="B3" s="94" t="str">
        <x:v>Christina Curtis Lab</x:v>
      </x:c>
      <x:c r="C3" s="94" t="str">
        <x:v>Stanford University</x:v>
      </x:c>
      <x:c r="D3" s="94" t="str">
        <x:v>美国</x:v>
      </x:c>
      <x:c r="E3" s="94" t="str">
        <x:v>明确招聘博后</x:v>
      </x:c>
      <x:c r="F3" s="94" t="str">
        <x:v>乳腺癌进化、配对原发/转移、单细胞、cfDNA 与临床建模</x:v>
      </x:c>
      <x:c r="G3" s="100" t="n">
        <x:v>5</x:v>
      </x:c>
      <x:c r="H3" s="100" t="n">
        <x:v>5</x:v>
      </x:c>
      <x:c r="I3" s="100" t="n">
        <x:v>5</x:v>
      </x:c>
      <x:c r="J3" s="100" t="n">
        <x:f>ROUND(G3*0.5+H3*0.3+I3*0.2,1)</x:f>
        <x:v>5</x:v>
      </x:c>
      <x:c r="K3" s="102" t="str">
        <x:v>低</x:v>
      </x:c>
      <x:c r="L3" s="94" t="str">
        <x:v>第一批套磁；强调多细胞模块、配对设计和空间验证</x:v>
      </x:c>
      <x:c r="M3" s="102" t="str">
        <x:v>未联系</x:v>
      </x:c>
      <x:c r="N3" s="94" t="str">
        <x:v>无固定截止日期</x:v>
      </x:c>
      <x:c r="O3" s="94" t="str">
        <x:v>https://med.stanford.edu/curtislab/training-employment.html</x:v>
      </x:c>
    </x:row>
    <x:row r="4" ht="54" customHeight="1">
      <x:c r="A4" s="102" t="str">
        <x:v>A+</x:v>
      </x:c>
      <x:c r="B4" s="94" t="str">
        <x:v>Joseph Chan Lab - Computational Biology in Cancer</x:v>
      </x:c>
      <x:c r="C4" s="94" t="str">
        <x:v>Memorial Sloan Kettering</x:v>
      </x:c>
      <x:c r="D4" s="94" t="str">
        <x:v>美国</x:v>
      </x:c>
      <x:c r="E4" s="94" t="str">
        <x:v>公开招聘</x:v>
      </x:c>
      <x:c r="F4" s="94" t="str">
        <x:v>单细胞/空间基因组、微环境压力、谱系可塑性、免疫逃逸与转移</x:v>
      </x:c>
      <x:c r="G4" s="100" t="n">
        <x:v>5</x:v>
      </x:c>
      <x:c r="H4" s="100" t="n">
        <x:v>4.5</x:v>
      </x:c>
      <x:c r="I4" s="100" t="n">
        <x:v>3</x:v>
      </x:c>
      <x:c r="J4" s="100" t="n">
        <x:f>ROUND(G4*0.5+H4*0.3+I4*0.2,1)</x:f>
        <x:v>4.4</x:v>
      </x:c>
      <x:c r="K4" s="102" t="str">
        <x:v>低</x:v>
      </x:c>
      <x:c r="L4" s="94" t="str">
        <x:v>申请现岗位并同步询问 2027 招聘计划</x:v>
      </x:c>
      <x:c r="M4" s="102" t="str">
        <x:v>未联系</x:v>
      </x:c>
      <x:c r="N4" s="94" t="str">
        <x:v>当前开放</x:v>
      </x:c>
      <x:c r="O4" s="94" t="str">
        <x:v>https://careers.mskcc.org/vacancies/97543-postdoctoral-fellow-computational-biology-in-cancer-chan-lab-at-memorial-sloan-kettering-cancer-center/</x:v>
      </x:c>
    </x:row>
    <x:row r="5" ht="54" customHeight="1">
      <x:c r="A5" s="102" t="str">
        <x:v>A</x:v>
      </x:c>
      <x:c r="B5" s="94" t="str">
        <x:v>Wenbao Yu Lab - Single-Cell &amp; Spatial Omics</x:v>
      </x:c>
      <x:c r="C5" s="94" t="str">
        <x:v>Temple University / Fox Chase</x:v>
      </x:c>
      <x:c r="D5" s="94" t="str">
        <x:v>美国</x:v>
      </x:c>
      <x:c r="E5" s="94" t="str">
        <x:v>公开招聘</x:v>
      </x:c>
      <x:c r="F5" s="94" t="str">
        <x:v>微环境适应、复发与转移、细胞间通讯、空间组学和统计建模</x:v>
      </x:c>
      <x:c r="G5" s="100" t="n">
        <x:v>5</x:v>
      </x:c>
      <x:c r="H5" s="100" t="n">
        <x:v>4.5</x:v>
      </x:c>
      <x:c r="I5" s="100" t="n">
        <x:v>2.5</x:v>
      </x:c>
      <x:c r="J5" s="100" t="n">
        <x:f>ROUND(G5*0.5+H5*0.3+I5*0.2,1)</x:f>
        <x:v>4.4</x:v>
      </x:c>
      <x:c r="K5" s="102" t="str">
        <x:v>低</x:v>
      </x:c>
      <x:c r="L5" s="94" t="str">
        <x:v>尽快询问是否仍招聘及是否可 2027 入职</x:v>
      </x:c>
      <x:c r="M5" s="102" t="str">
        <x:v>未联系</x:v>
      </x:c>
      <x:c r="N5" s="94" t="str">
        <x:v>原计划 2026-07 入职</x:v>
      </x:c>
      <x:c r="O5" s="94" t="str">
        <x:v>https://grad.temple.edu/postdoctoral-affairs/open-positions</x:v>
      </x:c>
    </x:row>
    <x:row r="6" ht="54" customHeight="1">
      <x:c r="A6" s="102" t="str">
        <x:v>A</x:v>
      </x:c>
      <x:c r="B6" s="94" t="str">
        <x:v>Gu Lab - Spatial Omics / Bioinformatics</x:v>
      </x:c>
      <x:c r="C6" s="94" t="str">
        <x:v>University of Washington</x:v>
      </x:c>
      <x:c r="D6" s="94" t="str">
        <x:v>美国</x:v>
      </x:c>
      <x:c r="E6" s="94" t="str">
        <x:v>滚动招聘</x:v>
      </x:c>
      <x:c r="F6" s="94" t="str">
        <x:v>空间肿瘤生态、细胞互作、空间 RNA/蛋白整合和方法开发</x:v>
      </x:c>
      <x:c r="G6" s="100" t="n">
        <x:v>4.5</x:v>
      </x:c>
      <x:c r="H6" s="100" t="n">
        <x:v>5</x:v>
      </x:c>
      <x:c r="I6" s="100" t="n">
        <x:v>4.5</x:v>
      </x:c>
      <x:c r="J6" s="100" t="n">
        <x:f>ROUND(G6*0.5+H6*0.3+I6*0.2,1)</x:f>
        <x:v>4.7</x:v>
      </x:c>
      <x:c r="K6" s="102" t="str">
        <x:v>低</x:v>
      </x:c>
      <x:c r="L6" s="94" t="str">
        <x:v>套磁时锁定肿瘤转移生态项目</x:v>
      </x:c>
      <x:c r="M6" s="102" t="str">
        <x:v>未联系</x:v>
      </x:c>
      <x:c r="N6" s="94" t="str">
        <x:v>Open until filled；时间可协商</x:v>
      </x:c>
      <x:c r="O6" s="94" t="str">
        <x:v>https://www.uwgulab.org/contact-join-us/postdocs-in-spatial-bioinformatics</x:v>
      </x:c>
    </x:row>
    <x:row r="7" ht="54" customHeight="1">
      <x:c r="A7" s="102" t="str">
        <x:v>A</x:v>
      </x:c>
      <x:c r="B7" s="94" t="str">
        <x:v>Data Science Postdoctoral Fellows</x:v>
      </x:c>
      <x:c r="C7" s="94" t="str">
        <x:v>Dana-Farber / Harvard</x:v>
      </x:c>
      <x:c r="D7" s="94" t="str">
        <x:v>美国</x:v>
      </x:c>
      <x:c r="E7" s="94" t="str">
        <x:v>项目制招聘</x:v>
      </x:c>
      <x:c r="F7" s="94" t="str">
        <x:v>计算生物学、机器学习、空间组学；支持数据科学和肿瘤 PI 联合指导</x:v>
      </x:c>
      <x:c r="G7" s="100" t="n">
        <x:v>4.5</x:v>
      </x:c>
      <x:c r="H7" s="100" t="n">
        <x:v>4.5</x:v>
      </x:c>
      <x:c r="I7" s="100" t="n">
        <x:v>4</x:v>
      </x:c>
      <x:c r="J7" s="100" t="n">
        <x:f>ROUND(G7*0.5+H7*0.3+I7*0.2,1)</x:f>
        <x:v>4.4</x:v>
      </x:c>
      <x:c r="K7" s="102" t="str">
        <x:v>低</x:v>
      </x:c>
      <x:c r="L7" s="94" t="str">
        <x:v>2026 年底重点监测 2027 cohort</x:v>
      </x:c>
      <x:c r="M7" s="102" t="str">
        <x:v>未联系</x:v>
      </x:c>
      <x:c r="N7" s="94" t="str">
        <x:v>当前页面为 2026 cohort</x:v>
      </x:c>
      <x:c r="O7" s="94" t="str">
        <x:v>https://ds.dfci.harvard.edu/postdocs/</x:v>
      </x:c>
    </x:row>
    <x:row r="8" ht="54" customHeight="1">
      <x:c r="A8" s="102" t="str">
        <x:v>A-</x:v>
      </x:c>
      <x:c r="B8" s="94" t="str">
        <x:v>KH Chen Lab</x:v>
      </x:c>
      <x:c r="C8" s="94" t="str">
        <x:v>A*STAR Genome Institute of Singapore</x:v>
      </x:c>
      <x:c r="D8" s="94" t="str">
        <x:v>新加坡</x:v>
      </x:c>
      <x:c r="E8" s="94" t="str">
        <x:v>实验室明确招聘</x:v>
      </x:c>
      <x:c r="F8" s="94" t="str">
        <x:v>空间组学、系统生物学、RNA 空间定位与机器学习</x:v>
      </x:c>
      <x:c r="G8" s="100" t="n">
        <x:v>4</x:v>
      </x:c>
      <x:c r="H8" s="100" t="n">
        <x:v>5</x:v>
      </x:c>
      <x:c r="I8" s="100" t="n">
        <x:v>4</x:v>
      </x:c>
      <x:c r="J8" s="100" t="n">
        <x:f>ROUND(G8*0.5+H8*0.3+I8*0.2,1)</x:f>
        <x:v>4.3</x:v>
      </x:c>
      <x:c r="K8" s="102" t="str">
        <x:v>低</x:v>
      </x:c>
      <x:c r="L8" s="94" t="str">
        <x:v>询问癌症/转移项目与 2027 入职</x:v>
      </x:c>
      <x:c r="M8" s="102" t="str">
        <x:v>未联系</x:v>
      </x:c>
      <x:c r="N8" s="94" t="str">
        <x:v>Now hiring</x:v>
      </x:c>
      <x:c r="O8" s="94" t="str">
        <x:v>https://khchenlab.github.io/</x:v>
      </x:c>
    </x:row>
    <x:row r="9" ht="54" customHeight="1">
      <x:c r="A9" s="102" t="str">
        <x:v>A-</x:v>
      </x:c>
      <x:c r="B9" s="94" t="str">
        <x:v>Rouhani Lab / Lotfollahi Collaboration - AI/ML Postdoc</x:v>
      </x:c>
      <x:c r="C9" s="94" t="str">
        <x:v>Francis Crick / Wellcome Sanger</x:v>
      </x:c>
      <x:c r="D9" s="94" t="str">
        <x:v>英国</x:v>
      </x:c>
      <x:c r="E9" s="94" t="str">
        <x:v>公开招聘</x:v>
      </x:c>
      <x:c r="F9" s="94" t="str">
        <x:v>空间基因组、多模态 ML、克隆-微环境互作和肝癌</x:v>
      </x:c>
      <x:c r="G9" s="100" t="n">
        <x:v>4</x:v>
      </x:c>
      <x:c r="H9" s="100" t="n">
        <x:v>5</x:v>
      </x:c>
      <x:c r="I9" s="100" t="n">
        <x:v>1</x:v>
      </x:c>
      <x:c r="J9" s="100" t="n">
        <x:f>ROUND(G9*0.5+H9*0.3+I9*0.2,1)</x:f>
        <x:v>3.7</x:v>
      </x:c>
      <x:c r="K9" s="102" t="str">
        <x:v>低</x:v>
      </x:c>
      <x:c r="L9" s="94" t="str">
        <x:v>若岗位已关，仍可作为 2027 套磁目标和方法路线参考</x:v>
      </x:c>
      <x:c r="M9" s="102" t="str">
        <x:v>未联系</x:v>
      </x:c>
      <x:c r="N9" s="94" t="str">
        <x:v>截止 2026-07-06</x:v>
      </x:c>
      <x:c r="O9" s="94" t="str">
        <x:v>https://www.jobs.ac.uk/job/DRU431/ai-ml-postdoctoral-fellow-f-rouhani-lab</x:v>
      </x:c>
    </x:row>
    <x:row r="10" ht="54" customHeight="1">
      <x:c r="A10" s="102" t="str">
        <x:v>B+</x:v>
      </x:c>
      <x:c r="B10" s="94" t="str">
        <x:v>Bowtell Lab - Cancer Immunology and Genomics</x:v>
      </x:c>
      <x:c r="C10" s="94" t="str">
        <x:v>Peter MacCallum Cancer Centre</x:v>
      </x:c>
      <x:c r="D10" s="94" t="str">
        <x:v>澳大利亚</x:v>
      </x:c>
      <x:c r="E10" s="94" t="str">
        <x:v>公开招聘</x:v>
      </x:c>
      <x:c r="F10" s="94" t="str">
        <x:v>卵巢癌免疫、基因组、单细胞/空间转录组和功能免疫分析</x:v>
      </x:c>
      <x:c r="G10" s="100" t="n">
        <x:v>4</x:v>
      </x:c>
      <x:c r="H10" s="100" t="n">
        <x:v>3.5</x:v>
      </x:c>
      <x:c r="I10" s="100" t="n">
        <x:v>2.5</x:v>
      </x:c>
      <x:c r="J10" s="100" t="n">
        <x:f>ROUND(G10*0.5+H10*0.3+I10*0.2,1)</x:f>
        <x:v>3.6</x:v>
      </x:c>
      <x:c r="K10" s="102" t="str">
        <x:v>高</x:v>
      </x:c>
      <x:c r="L10" s="94" t="str">
        <x:v>仅在愿意做混合湿/干实验时优先申请</x:v>
      </x:c>
      <x:c r="M10" s="102" t="str">
        <x:v>未联系</x:v>
      </x:c>
      <x:c r="N10" s="94" t="str">
        <x:v>2026-06 发布</x:v>
      </x:c>
      <x:c r="O10" s="94" t="str">
        <x:v>https://careers.petermac.org/job/MELBOURNE-Postdoctoral-Researcher-Bowtell-Laboratory-VIC-3000/1362594966/</x:v>
      </x:c>
    </x:row>
    <x:row r="11" ht="54" customHeight="1">
      <x:c r="A11" s="102" t="str">
        <x:v>B+</x:v>
      </x:c>
      <x:c r="B11" s="94" t="str">
        <x:v>Melissa Ng Lab - Neutrophil Biology</x:v>
      </x:c>
      <x:c r="C11" s="94" t="str">
        <x:v>SIgN / A*STAR</x:v>
      </x:c>
      <x:c r="D11" s="94" t="str">
        <x:v>新加坡</x:v>
      </x:c>
      <x:c r="E11" s="94" t="str">
        <x:v>公开招聘</x:v>
      </x:c>
      <x:c r="F11" s="94" t="str">
        <x:v>局部环境驱动的中性粒细胞重编程、scRNA-seq、空间组学和癌症模型</x:v>
      </x:c>
      <x:c r="G11" s="100" t="n">
        <x:v>3.5</x:v>
      </x:c>
      <x:c r="H11" s="100" t="n">
        <x:v>4</x:v>
      </x:c>
      <x:c r="I11" s="100" t="n">
        <x:v>2.5</x:v>
      </x:c>
      <x:c r="J11" s="100" t="n">
        <x:f>ROUND(G11*0.5+H11*0.3+I11*0.2,1)</x:f>
        <x:v>3.5</x:v>
      </x:c>
      <x:c r="K11" s="102" t="str">
        <x:v>高</x:v>
      </x:c>
      <x:c r="L11" s="94" t="str">
        <x:v>确认是否接受计算为主以及小鼠工作比例</x:v>
      </x:c>
      <x:c r="M11" s="102" t="str">
        <x:v>未联系</x:v>
      </x:c>
      <x:c r="N11" s="94" t="str">
        <x:v>2026-06-12 发布</x:v>
      </x:c>
      <x:c r="O11" s="94" t="str">
        <x:v>https://medicine.nus.edu.sg/trp/immunology/join-us/career-opportunities/scientist-neutrophil-biology/</x:v>
      </x:c>
    </x:row>
    <x:row r="12" ht="54" customHeight="1">
      <x:c r="A12" s="102" t="str">
        <x:v>B+</x:v>
      </x:c>
      <x:c r="B12" s="94" t="str">
        <x:v>Franziska Michor Lab</x:v>
      </x:c>
      <x:c r="C12" s="94" t="str">
        <x:v>Dana-Farber / Harvard</x:v>
      </x:c>
      <x:c r="D12" s="94" t="str">
        <x:v>美国</x:v>
      </x:c>
      <x:c r="E12" s="94" t="str">
        <x:v>公开招聘</x:v>
      </x:c>
      <x:c r="F12" s="94" t="str">
        <x:v>多模态组学、空间数据、生成模型、因果推断与肿瘤治疗优化</x:v>
      </x:c>
      <x:c r="G12" s="100" t="n">
        <x:v>3.5</x:v>
      </x:c>
      <x:c r="H12" s="100" t="n">
        <x:v>5</x:v>
      </x:c>
      <x:c r="I12" s="100" t="n">
        <x:v>3</x:v>
      </x:c>
      <x:c r="J12" s="100" t="n">
        <x:f>ROUND(G12*0.5+H12*0.3+I12*0.2,1)</x:f>
        <x:v>3.9</x:v>
      </x:c>
      <x:c r="K12" s="102" t="str">
        <x:v>低</x:v>
      </x:c>
      <x:c r="L12" s="94" t="str">
        <x:v>适合希望显著加强 Python/ML 的申请路线</x:v>
      </x:c>
      <x:c r="M12" s="102" t="str">
        <x:v>未联系</x:v>
      </x:c>
      <x:c r="N12" s="94" t="str">
        <x:v>当前开放</x:v>
      </x:c>
      <x:c r="O12" s="94" t="str">
        <x:v>https://careers.dana-farber.org/job/1130/postdoctoral-research-fellow-michor-lab-fellowships-us-ma-boston-450-brookline-ave/</x:v>
      </x:c>
    </x:row>
    <x:row r="13" ht="54" customHeight="1">
      <x:c r="A13" s="102" t="str">
        <x:v>B</x:v>
      </x:c>
      <x:c r="B13" s="94" t="str">
        <x:v>Jake Lee Lab - Computational Oncology</x:v>
      </x:c>
      <x:c r="C13" s="94" t="str">
        <x:v>Memorial Sloan Kettering</x:v>
      </x:c>
      <x:c r="D13" s="94" t="str">
        <x:v>美国</x:v>
      </x:c>
      <x:c r="E13" s="94" t="str">
        <x:v>公开招聘</x:v>
      </x:c>
      <x:c r="F13" s="94" t="str">
        <x:v>单细胞 WGS、多组学、结构变异和肿瘤进化</x:v>
      </x:c>
      <x:c r="G13" s="100" t="n">
        <x:v>3</x:v>
      </x:c>
      <x:c r="H13" s="100" t="n">
        <x:v>4.5</x:v>
      </x:c>
      <x:c r="I13" s="100" t="n">
        <x:v>3</x:v>
      </x:c>
      <x:c r="J13" s="100" t="n">
        <x:f>ROUND(G13*0.5+H13*0.3+I13*0.2,1)</x:f>
        <x:v>3.5</x:v>
      </x:c>
      <x:c r="K13" s="102" t="str">
        <x:v>低</x:v>
      </x:c>
      <x:c r="L13" s="94" t="str">
        <x:v>作为进化基因组方向备选</x:v>
      </x:c>
      <x:c r="M13" s="102" t="str">
        <x:v>未联系</x:v>
      </x:c>
      <x:c r="N13" s="94" t="str">
        <x:v>当前开放</x:v>
      </x:c>
      <x:c r="O13" s="94" t="str">
        <x:v>https://careers.mskcc.org/vacancies/97518-postdoctoral-research-scholar-in-computational-oncology-jake-lee-lab/</x:v>
      </x:c>
    </x:row>
    <x:row r="14" ht="54" customHeight="1">
      <x:c r="A14" s="102" t="str">
        <x:v>B</x:v>
      </x:c>
      <x:c r="B14" s="94" t="str">
        <x:v>Ishizuka Lab - Tumor Immunology</x:v>
      </x:c>
      <x:c r="C14" s="94" t="str">
        <x:v>Yale Cancer Center</x:v>
      </x:c>
      <x:c r="D14" s="94" t="str">
        <x:v>美国</x:v>
      </x:c>
      <x:c r="E14" s="94" t="str">
        <x:v>滚动招聘</x:v>
      </x:c>
      <x:c r="F14" s="94" t="str">
        <x:v>肿瘤免疫、AI、系统免疫、单细胞和治疗工程</x:v>
      </x:c>
      <x:c r="G14" s="100" t="n">
        <x:v>3.5</x:v>
      </x:c>
      <x:c r="H14" s="100" t="n">
        <x:v>3.5</x:v>
      </x:c>
      <x:c r="I14" s="100" t="n">
        <x:v>3</x:v>
      </x:c>
      <x:c r="J14" s="100" t="n">
        <x:f>ROUND(G14*0.5+H14*0.3+I14*0.2,1)</x:f>
        <x:v>3.4</x:v>
      </x:c>
      <x:c r="K14" s="102" t="str">
        <x:v>高</x:v>
      </x:c>
      <x:c r="L14" s="94" t="str">
        <x:v>确认纯计算空间、湿实验比例和签证支持</x:v>
      </x:c>
      <x:c r="M14" s="102" t="str">
        <x:v>未联系</x:v>
      </x:c>
      <x:c r="N14" s="94" t="str">
        <x:v>Rolling until filled</x:v>
      </x:c>
      <x:c r="O14" s="94" t="str">
        <x:v>https://postdocs.yale.edu/posts/2026-05-04-postdoctoral-researcher-in-tumor-immunology</x:v>
      </x:c>
    </x:row>
    <x:row r="15" ht="54" customHeight="1">
      <x:c r="A15" s="102" t="str">
        <x:v>B</x:v>
      </x:c>
      <x:c r="B15" s="94" t="str">
        <x:v>3DxN Bioimaging and Spatial Multiomics</x:v>
      </x:c>
      <x:c r="C15" s="94" t="str">
        <x:v>University of Oxford</x:v>
      </x:c>
      <x:c r="D15" s="94" t="str">
        <x:v>英国</x:v>
      </x:c>
      <x:c r="E15" s="94" t="str">
        <x:v>公开招聘</x:v>
      </x:c>
      <x:c r="F15" s="94" t="str">
        <x:v>空间组学、生物成像和临床数据整合；主要面向血液/骨髓疾病</x:v>
      </x:c>
      <x:c r="G15" s="100" t="n">
        <x:v>3</x:v>
      </x:c>
      <x:c r="H15" s="100" t="n">
        <x:v>4.5</x:v>
      </x:c>
      <x:c r="I15" s="100" t="n">
        <x:v>1.5</x:v>
      </x:c>
      <x:c r="J15" s="100" t="n">
        <x:f>ROUND(G15*0.5+H15*0.3+I15*0.2,1)</x:f>
        <x:v>3.1</x:v>
      </x:c>
      <x:c r="K15" s="102" t="str">
        <x:v>低</x:v>
      </x:c>
      <x:c r="L15" s="94" t="str">
        <x:v>若已截止则只保留为空间方法实验室线索</x:v>
      </x:c>
      <x:c r="M15" s="102" t="str">
        <x:v>未联系</x:v>
      </x:c>
      <x:c r="N15" s="94" t="str">
        <x:v>截止 2026-07-10</x:v>
      </x:c>
      <x:c r="O15" s="94" t="str">
        <x:v>https://www.jobs.ac.uk/job/DRX824/postdoctoral-research-assistant-in-bioimaging-and-spatial-multiomics</x:v>
      </x:c>
    </x:row>
  </x:sheetData>
  <x:conditionalFormatting sqref="A2:A15">
    <x:cfRule type="cellIs" dxfId="0" priority="1" operator="equal">
      <x:formula>"A+"</x:formula>
    </x:cfRule>
    <x:cfRule type="cellIs" dxfId="1" priority="2" operator="equal">
      <x:formula>"A"</x:formula>
    </x:cfRule>
    <x:cfRule type="cellIs" dxfId="2" priority="3" operator="equal">
      <x:formula>"A-"</x:formula>
    </x:cfRule>
    <x:cfRule type="beginsWith" dxfId="3" priority="4" operator="beginsWith" text="B"/>
  </x:conditionalFormatting>
  <x:conditionalFormatting sqref="J2:J15">
    <x:cfRule type="colorScale" priority="5">
      <x:colorScale>
        <x:cfvo type="min"/>
        <x:cfvo type="percentile" val="50"/>
        <x:cfvo type="max"/>
        <x:color rgb="FFFCE0DE"/>
        <x:color rgb="FFFFF1CC"/>
        <x:color rgb="FFDDF3E4"/>
      </x:colorScale>
    </x:cfRule>
  </x:conditionalFormatting>
  <x:dataValidations count="1">
    <x:dataValidation type="list" sqref="M2:M15">
      <x:formula1>"未联系,已套磁,等待回复,面试中,已拒,Offer,暂停"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2ea10aeb8d4b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1" hidden="0" customWidth="1"/>
    <x:col min="5" max="5" width="48" hidden="0" customWidth="1"/>
    <x:col min="6" max="6" width="52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30" hidden="0" customWidth="1"/>
    <x:col min="13" max="13" width="12" hidden="0" customWidth="1"/>
    <x:col min="14" max="14" width="58" hidden="0" customWidth="1"/>
  </x:cols>
  <x:sheetData>
    <x:row r="1" ht="32" customHeight="1">
      <x:c r="A1" s="85" t="str">
        <x:v>梯队</x:v>
      </x:c>
      <x:c r="B1" s="86" t="str">
        <x:v>PI/实验室</x:v>
      </x:c>
      <x:c r="C1" s="86" t="str">
        <x:v>机构</x:v>
      </x:c>
      <x:c r="D1" s="86" t="str">
        <x:v>地区</x:v>
      </x:c>
      <x:c r="E1" s="86" t="str">
        <x:v>结合点</x:v>
      </x:c>
      <x:c r="F1" s="86" t="str">
        <x:v>最合适切入点</x:v>
      </x:c>
      <x:c r="G1" s="86" t="str">
        <x:v>科学匹配</x:v>
      </x:c>
      <x:c r="H1" s="86" t="str">
        <x:v>技能增量</x:v>
      </x:c>
      <x:c r="I1" s="86" t="str">
        <x:v>2027 时间适配</x:v>
      </x:c>
      <x:c r="J1" s="86" t="str">
        <x:v>综合评分</x:v>
      </x:c>
      <x:c r="K1" s="86" t="str">
        <x:v>湿实验强度</x:v>
      </x:c>
      <x:c r="L1" s="86" t="str">
        <x:v>当前信号</x:v>
      </x:c>
      <x:c r="M1" s="86" t="str">
        <x:v>联系状态</x:v>
      </x:c>
      <x:c r="N1" s="87" t="str">
        <x:v>官网</x:v>
      </x:c>
    </x:row>
    <x:row r="2" ht="56" customHeight="1">
      <x:c r="A2" s="101" t="n">
        <x:v>1</x:v>
      </x:c>
      <x:c r="B2" s="93" t="str">
        <x:v>Christina Curtis</x:v>
      </x:c>
      <x:c r="C2" s="93" t="str">
        <x:v>Stanford University</x:v>
      </x:c>
      <x:c r="D2" s="93" t="str">
        <x:v>美国</x:v>
      </x:c>
      <x:c r="E2" s="93" t="str">
        <x:v>乳腺癌、配对原发/转移、肿瘤进化、单细胞和临床建模</x:v>
      </x:c>
      <x:c r="F2" s="93" t="str">
        <x:v>建模转移克隆与器官特异性免疫生态的共同进化，并加入空间和纵向验证</x:v>
      </x:c>
      <x:c r="G2" s="99" t="n">
        <x:v>5</x:v>
      </x:c>
      <x:c r="H2" s="99" t="n">
        <x:v>5</x:v>
      </x:c>
      <x:c r="I2" s="99" t="n">
        <x:v>5</x:v>
      </x:c>
      <x:c r="J2" s="99" t="n">
        <x:f>ROUND(G2*0.5+H2*0.3+I2*0.2,1)</x:f>
        <x:v>5</x:v>
      </x:c>
      <x:c r="K2" s="101" t="str">
        <x:v>低</x:v>
      </x:c>
      <x:c r="L2" s="93" t="str">
        <x:v>明确招聘博后</x:v>
      </x:c>
      <x:c r="M2" s="101" t="str">
        <x:v>未联系</x:v>
      </x:c>
      <x:c r="N2" s="93" t="str">
        <x:v>https://med.stanford.edu/curtislab</x:v>
      </x:c>
    </x:row>
    <x:row r="3" ht="56" customHeight="1">
      <x:c r="A3" s="102" t="n">
        <x:v>1</x:v>
      </x:c>
      <x:c r="B3" s="94" t="str">
        <x:v>Alex Swarbrick</x:v>
      </x:c>
      <x:c r="C3" s="94" t="str">
        <x:v>Garvan Institute</x:v>
      </x:c>
      <x:c r="D3" s="94" t="str">
        <x:v>澳大利亚</x:v>
      </x:c>
      <x:c r="E3" s="94" t="str">
        <x:v>乳腺癌单细胞/空间图谱、肿瘤生态、纵向和转移/尸检样本</x:v>
      </x:c>
      <x:c r="F3" s="94" t="str">
        <x:v>在多个转移灶中空间验证器官特异性 CoVarNet 模块</x:v>
      </x:c>
      <x:c r="G3" s="100" t="n">
        <x:v>5</x:v>
      </x:c>
      <x:c r="H3" s="100" t="n">
        <x:v>5</x:v>
      </x:c>
      <x:c r="I3" s="100" t="n">
        <x:v>4.5</x:v>
      </x:c>
      <x:c r="J3" s="100" t="n">
        <x:f>ROUND(G3*0.5+H3*0.3+I3*0.2,1)</x:f>
        <x:v>4.9</x:v>
      </x:c>
      <x:c r="K3" s="102" t="str">
        <x:v>中</x:v>
      </x:c>
      <x:c r="L3" s="94" t="str">
        <x:v>适合主动套磁</x:v>
      </x:c>
      <x:c r="M3" s="102" t="str">
        <x:v>未联系</x:v>
      </x:c>
      <x:c r="N3" s="94" t="str">
        <x:v>https://www.garvan.org.au/research/labs-groups/swarbrick-lab</x:v>
      </x:c>
    </x:row>
    <x:row r="4" ht="56" customHeight="1">
      <x:c r="A4" s="102" t="n">
        <x:v>1</x:v>
      </x:c>
      <x:c r="B4" s="94" t="str">
        <x:v>Johanna Joyce</x:v>
      </x:c>
      <x:c r="C4" s="94" t="str">
        <x:v>UNIL / CHUV / Ludwig Lausanne</x:v>
      </x:c>
      <x:c r="D4" s="94" t="str">
        <x:v>瑞士</x:v>
      </x:c>
      <x:c r="E4" s="94" t="str">
        <x:v>肿瘤微环境、巨噬细胞、血管/基质通讯和脑转移</x:v>
      </x:c>
      <x:c r="F4" s="94" t="str">
        <x:v>对 BBB/内皮-髓系模块进行机制和干预验证</x:v>
      </x:c>
      <x:c r="G4" s="100" t="n">
        <x:v>5</x:v>
      </x:c>
      <x:c r="H4" s="100" t="n">
        <x:v>4.5</x:v>
      </x:c>
      <x:c r="I4" s="100" t="n">
        <x:v>4</x:v>
      </x:c>
      <x:c r="J4" s="100" t="n">
        <x:f>ROUND(G4*0.5+H4*0.3+I4*0.2,1)</x:f>
        <x:v>4.6</x:v>
      </x:c>
      <x:c r="K4" s="102" t="str">
        <x:v>高</x:v>
      </x:c>
      <x:c r="L4" s="94" t="str">
        <x:v>适合主动套磁</x:v>
      </x:c>
      <x:c r="M4" s="102" t="str">
        <x:v>未联系</x:v>
      </x:c>
      <x:c r="N4" s="94" t="str">
        <x:v>https://agora-cancer.ch/laboratory/joyce-lab/</x:v>
      </x:c>
    </x:row>
    <x:row r="5" ht="56" customHeight="1">
      <x:c r="A5" s="102" t="n">
        <x:v>1</x:v>
      </x:c>
      <x:c r="B5" s="94" t="str">
        <x:v>Sohrab Shah</x:v>
      </x:c>
      <x:c r="C5" s="94" t="str">
        <x:v>Memorial Sloan Kettering</x:v>
      </x:c>
      <x:c r="D5" s="94" t="str">
        <x:v>美国</x:v>
      </x:c>
      <x:c r="E5" s="94" t="str">
        <x:v>乳腺癌/卵巢癌单细胞进化与部位特异性免疫逃逸</x:v>
      </x:c>
      <x:c r="F5" s="94" t="str">
        <x:v>联合克隆进化、器官特异性免疫模块和空间成像</x:v>
      </x:c>
      <x:c r="G5" s="100" t="n">
        <x:v>5</x:v>
      </x:c>
      <x:c r="H5" s="100" t="n">
        <x:v>5</x:v>
      </x:c>
      <x:c r="I5" s="100" t="n">
        <x:v>4</x:v>
      </x:c>
      <x:c r="J5" s="100" t="n">
        <x:f>ROUND(G5*0.5+H5*0.3+I5*0.2,1)</x:f>
        <x:v>4.8</x:v>
      </x:c>
      <x:c r="K5" s="102" t="str">
        <x:v>低</x:v>
      </x:c>
      <x:c r="L5" s="94" t="str">
        <x:v>Career Center + 主动联系</x:v>
      </x:c>
      <x:c r="M5" s="102" t="str">
        <x:v>未联系</x:v>
      </x:c>
      <x:c r="N5" s="94" t="str">
        <x:v>https://www.mskcc.org/research-areas/labs/sohrab-shah</x:v>
      </x:c>
    </x:row>
    <x:row r="6" ht="56" customHeight="1">
      <x:c r="A6" s="102" t="n">
        <x:v>1</x:v>
      </x:c>
      <x:c r="B6" s="94" t="str">
        <x:v>Dana Pe'er</x:v>
      </x:c>
      <x:c r="C6" s="94" t="str">
        <x:v>Memorial Sloan Kettering</x:v>
      </x:c>
      <x:c r="D6" s="94" t="str">
        <x:v>美国</x:v>
      </x:c>
      <x:c r="E6" s="94" t="str">
        <x:v>单细胞/空间方法、细胞可塑性、多细胞响应和细胞间通讯</x:v>
      </x:c>
      <x:c r="F6" s="94" t="str">
        <x:v>开发可解释的多细胞转移生态模型，而不仅是应用现有工具</x:v>
      </x:c>
      <x:c r="G6" s="100" t="n">
        <x:v>4.5</x:v>
      </x:c>
      <x:c r="H6" s="100" t="n">
        <x:v>5</x:v>
      </x:c>
      <x:c r="I6" s="100" t="n">
        <x:v>4</x:v>
      </x:c>
      <x:c r="J6" s="100" t="n">
        <x:f>ROUND(G6*0.5+H6*0.3+I6*0.2,1)</x:f>
        <x:v>4.6</x:v>
      </x:c>
      <x:c r="K6" s="102" t="str">
        <x:v>低</x:v>
      </x:c>
      <x:c r="L6" s="94" t="str">
        <x:v>实验室明确欢迎博后</x:v>
      </x:c>
      <x:c r="M6" s="102" t="str">
        <x:v>未联系</x:v>
      </x:c>
      <x:c r="N6" s="94" t="str">
        <x:v>https://www.mskcc.org/research/ski/labs/dana-pe-er/jobs</x:v>
      </x:c>
    </x:row>
    <x:row r="7" ht="56" customHeight="1">
      <x:c r="A7" s="102" t="n">
        <x:v>1</x:v>
      </x:c>
      <x:c r="B7" s="94" t="str">
        <x:v>Diether Lambrechts + Yvan Saeys</x:v>
      </x:c>
      <x:c r="C7" s="94" t="str">
        <x:v>VIB-KU Leuven / VIB-Ghent</x:v>
      </x:c>
      <x:c r="D7" s="94" t="str">
        <x:v>比利时</x:v>
      </x:c>
      <x:c r="E7" s="94" t="str">
        <x:v>患者单细胞/空间 TME、MultiNicheNet 和专门的细胞通讯团队</x:v>
      </x:c>
      <x:c r="F7" s="94" t="str">
        <x:v>联合指导的多样本空间通讯项目，围绕器官特异性转移模块</x:v>
      </x:c>
      <x:c r="G7" s="100" t="n">
        <x:v>5</x:v>
      </x:c>
      <x:c r="H7" s="100" t="n">
        <x:v>5</x:v>
      </x:c>
      <x:c r="I7" s="100" t="n">
        <x:v>4.5</x:v>
      </x:c>
      <x:c r="J7" s="100" t="n">
        <x:f>ROUND(G7*0.5+H7*0.3+I7*0.2,1)</x:f>
        <x:v>4.9</x:v>
      </x:c>
      <x:c r="K7" s="102" t="str">
        <x:v>低</x:v>
      </x:c>
      <x:c r="L7" s="94" t="str">
        <x:v>建议同时联系两组讨论联合方案</x:v>
      </x:c>
      <x:c r="M7" s="102" t="str">
        <x:v>未联系</x:v>
      </x:c>
      <x:c r="N7" s="94" t="str">
        <x:v>https://lambrechtslab.sites.vib.be/en/research-focus | https://saeyslab.sites.vib.be/en/our-research/spatial-omics-team</x:v>
      </x:c>
    </x:row>
    <x:row r="8" ht="56" customHeight="1">
      <x:c r="A8" s="102" t="n">
        <x:v>1</x:v>
      </x:c>
      <x:c r="B8" s="94" t="str">
        <x:v>Sylvia Plevritis</x:v>
      </x:c>
      <x:c r="C8" s="94" t="str">
        <x:v>Stanford University</x:v>
      </x:c>
      <x:c r="D8" s="94" t="str">
        <x:v>美国</x:v>
      </x:c>
      <x:c r="E8" s="94" t="str">
        <x:v>免疫-基质-肿瘤互作、空间组学、侵袭和转移</x:v>
      </x:c>
      <x:c r="F8" s="94" t="str">
        <x:v>把 CoVarNet 模块转化为空间分辨的预测与机制模型</x:v>
      </x:c>
      <x:c r="G8" s="100" t="n">
        <x:v>5</x:v>
      </x:c>
      <x:c r="H8" s="100" t="n">
        <x:v>5</x:v>
      </x:c>
      <x:c r="I8" s="100" t="n">
        <x:v>3</x:v>
      </x:c>
      <x:c r="J8" s="100" t="n">
        <x:f>ROUND(G8*0.5+H8*0.3+I8*0.2,1)</x:f>
        <x:v>4.6</x:v>
      </x:c>
      <x:c r="K8" s="102" t="str">
        <x:v>低</x:v>
      </x:c>
      <x:c r="L8" s="94" t="str">
        <x:v>当前有公开岗位</x:v>
      </x:c>
      <x:c r="M8" s="102" t="str">
        <x:v>未联系</x:v>
      </x:c>
      <x:c r="N8" s="94" t="str">
        <x:v>https://plevritislab.stanford.edu/</x:v>
      </x:c>
    </x:row>
    <x:row r="9" ht="56" customHeight="1">
      <x:c r="A9" s="102" t="n">
        <x:v>2</x:v>
      </x:c>
      <x:c r="B9" s="94" t="str">
        <x:v>Karin de Visser</x:v>
      </x:c>
      <x:c r="C9" s="94" t="str">
        <x:v>Netherlands Cancer Institute</x:v>
      </x:c>
      <x:c r="D9" s="94" t="str">
        <x:v>荷兰</x:v>
      </x:c>
      <x:c r="E9" s="94" t="str">
        <x:v>免疫系统如何影响乳腺癌转移</x:v>
      </x:c>
      <x:c r="F9" s="94" t="str">
        <x:v>将计算模块发现与小鼠/患者免疫机制验证结合</x:v>
      </x:c>
      <x:c r="G9" s="100" t="n">
        <x:v>5</x:v>
      </x:c>
      <x:c r="H9" s="100" t="n">
        <x:v>4</x:v>
      </x:c>
      <x:c r="I9" s="100" t="n">
        <x:v>4</x:v>
      </x:c>
      <x:c r="J9" s="100" t="n">
        <x:f>ROUND(G9*0.5+H9*0.3+I9*0.2,1)</x:f>
        <x:v>4.5</x:v>
      </x:c>
      <x:c r="K9" s="102" t="str">
        <x:v>高</x:v>
      </x:c>
      <x:c r="L9" s="94" t="str">
        <x:v>适合主动套磁</x:v>
      </x:c>
      <x:c r="M9" s="102" t="str">
        <x:v>未联系</x:v>
      </x:c>
      <x:c r="N9" s="94" t="str">
        <x:v>https://www.nki.nl/research/research-groups/karin-de-visser/</x:v>
      </x:c>
    </x:row>
    <x:row r="10" ht="56" customHeight="1">
      <x:c r="A10" s="102" t="n">
        <x:v>2</x:v>
      </x:c>
      <x:c r="B10" s="94" t="str">
        <x:v>Samuel Aparicio</x:v>
      </x:c>
      <x:c r="C10" s="94" t="str">
        <x:v>BC Cancer</x:v>
      </x:c>
      <x:c r="D10" s="94" t="str">
        <x:v>加拿大</x:v>
      </x:c>
      <x:c r="E10" s="94" t="str">
        <x:v>乳腺癌进化、单细胞基因组和跨解剖部位传播</x:v>
      </x:c>
      <x:c r="F10" s="94" t="str">
        <x:v>连接转移克隆适应度与器官微环境选择</x:v>
      </x:c>
      <x:c r="G10" s="100" t="n">
        <x:v>4.5</x:v>
      </x:c>
      <x:c r="H10" s="100" t="n">
        <x:v>4.5</x:v>
      </x:c>
      <x:c r="I10" s="100" t="n">
        <x:v>4</x:v>
      </x:c>
      <x:c r="J10" s="100" t="n">
        <x:f>ROUND(G10*0.5+H10*0.3+I10*0.2,1)</x:f>
        <x:v>4.4</x:v>
      </x:c>
      <x:c r="K10" s="102" t="str">
        <x:v>中</x:v>
      </x:c>
      <x:c r="L10" s="94" t="str">
        <x:v>关注 BC Cancer careers 并主动联系</x:v>
      </x:c>
      <x:c r="M10" s="102" t="str">
        <x:v>未联系</x:v>
      </x:c>
      <x:c r="N10" s="94" t="str">
        <x:v>https://aparicio.molonc.ca/</x:v>
      </x:c>
    </x:row>
    <x:row r="11" ht="56" customHeight="1">
      <x:c r="A11" s="102" t="n">
        <x:v>2</x:v>
      </x:c>
      <x:c r="B11" s="94" t="str">
        <x:v>Logan Walsh</x:v>
      </x:c>
      <x:c r="C11" s="94" t="str">
        <x:v>McGill University</x:v>
      </x:c>
      <x:c r="D11" s="94" t="str">
        <x:v>加拿大</x:v>
      </x:c>
      <x:c r="E11" s="94" t="str">
        <x:v>原发到转移的转录互作网络和肺髓系生态</x:v>
      </x:c>
      <x:c r="F11" s="94" t="str">
        <x:v>将转录网络扩展到器官生态中的多细胞通讯</x:v>
      </x:c>
      <x:c r="G11" s="100" t="n">
        <x:v>4.5</x:v>
      </x:c>
      <x:c r="H11" s="100" t="n">
        <x:v>4</x:v>
      </x:c>
      <x:c r="I11" s="100" t="n">
        <x:v>4</x:v>
      </x:c>
      <x:c r="J11" s="100" t="n">
        <x:f>ROUND(G11*0.5+H11*0.3+I11*0.2,1)</x:f>
        <x:v>4.3</x:v>
      </x:c>
      <x:c r="K11" s="102" t="str">
        <x:v>中</x:v>
      </x:c>
      <x:c r="L11" s="94" t="str">
        <x:v>适合主动套磁</x:v>
      </x:c>
      <x:c r="M11" s="102" t="str">
        <x:v>未联系</x:v>
      </x:c>
      <x:c r="N11" s="94" t="str">
        <x:v>https://www.mcgill.ca/sbms/logan-walsh</x:v>
      </x:c>
    </x:row>
    <x:row r="12" ht="56" customHeight="1">
      <x:c r="A12" s="102" t="n">
        <x:v>2</x:v>
      </x:c>
      <x:c r="B12" s="94" t="str">
        <x:v>Fabian Theis</x:v>
      </x:c>
      <x:c r="C12" s="94" t="str">
        <x:v>Helmholtz Munich / TUM</x:v>
      </x:c>
      <x:c r="D12" s="94" t="str">
        <x:v>德国</x:v>
      </x:c>
      <x:c r="E12" s="94" t="str">
        <x:v>单细胞/空间机器学习、生成模型和开放软件</x:v>
      </x:c>
      <x:c r="F12" s="94" t="str">
        <x:v>方法开发转向：面向多细胞组织生态的生成模型或基础模型</x:v>
      </x:c>
      <x:c r="G12" s="100" t="n">
        <x:v>3.5</x:v>
      </x:c>
      <x:c r="H12" s="100" t="n">
        <x:v>5</x:v>
      </x:c>
      <x:c r="I12" s="100" t="n">
        <x:v>4</x:v>
      </x:c>
      <x:c r="J12" s="100" t="n">
        <x:f>ROUND(G12*0.5+H12*0.3+I12*0.2,1)</x:f>
        <x:v>4.1</x:v>
      </x:c>
      <x:c r="K12" s="102" t="str">
        <x:v>低</x:v>
      </x:c>
      <x:c r="L12" s="94" t="str">
        <x:v>接受 speculative postdoc application</x:v>
      </x:c>
      <x:c r="M12" s="102" t="str">
        <x:v>未联系</x:v>
      </x:c>
      <x:c r="N12" s="94" t="str">
        <x:v>https://www.helmholtz-munich.de/en/icb/research-groups/theis-lab</x:v>
      </x:c>
    </x:row>
    <x:row r="13" ht="56" customHeight="1">
      <x:c r="A13" s="102" t="n">
        <x:v>2</x:v>
      </x:c>
      <x:c r="B13" s="94" t="str">
        <x:v>Lodewyk Wessels</x:v>
      </x:c>
      <x:c r="C13" s="94" t="str">
        <x:v>Netherlands Cancer Institute</x:v>
      </x:c>
      <x:c r="D13" s="94" t="str">
        <x:v>荷兰</x:v>
      </x:c>
      <x:c r="E13" s="94" t="str">
        <x:v>网络推断、细胞状态决策、纵向分析和治疗反应</x:v>
      </x:c>
      <x:c r="F13" s="94" t="str">
        <x:v>强化样本层面网络推断和因果细胞状态建模</x:v>
      </x:c>
      <x:c r="G13" s="100" t="n">
        <x:v>4</x:v>
      </x:c>
      <x:c r="H13" s="100" t="n">
        <x:v>4.5</x:v>
      </x:c>
      <x:c r="I13" s="100" t="n">
        <x:v>4</x:v>
      </x:c>
      <x:c r="J13" s="100" t="n">
        <x:f>ROUND(G13*0.5+H13*0.3+I13*0.2,1)</x:f>
        <x:v>4.1</x:v>
      </x:c>
      <x:c r="K13" s="102" t="str">
        <x:v>低</x:v>
      </x:c>
      <x:c r="L13" s="94" t="str">
        <x:v>适合主动套磁</x:v>
      </x:c>
      <x:c r="M13" s="102" t="str">
        <x:v>未联系</x:v>
      </x:c>
      <x:c r="N13" s="94" t="str">
        <x:v>https://www.nki.nl/research/research-groups/lodewyk-wessels/</x:v>
      </x:c>
    </x:row>
    <x:row r="14" ht="56" customHeight="1">
      <x:c r="A14" s="102" t="n">
        <x:v>2</x:v>
      </x:c>
      <x:c r="B14" s="94" t="str">
        <x:v>Nir Hacohen</x:v>
      </x:c>
      <x:c r="C14" s="94" t="str">
        <x:v>MGH / Broad / Harvard</x:v>
      </x:c>
      <x:c r="D14" s="94" t="str">
        <x:v>美国</x:v>
      </x:c>
      <x:c r="E14" s="94" t="str">
        <x:v>系统免疫学和空间组织的多细胞免疫枢纽</x:v>
      </x:c>
      <x:c r="F14" s="94" t="str">
        <x:v>比较不同转移器官和治疗状态下的免疫枢纽组织</x:v>
      </x:c>
      <x:c r="G14" s="100" t="n">
        <x:v>4.5</x:v>
      </x:c>
      <x:c r="H14" s="100" t="n">
        <x:v>4.5</x:v>
      </x:c>
      <x:c r="I14" s="100" t="n">
        <x:v>3.5</x:v>
      </x:c>
      <x:c r="J14" s="100" t="n">
        <x:f>ROUND(G14*0.5+H14*0.3+I14*0.2,1)</x:f>
        <x:v>4.3</x:v>
      </x:c>
      <x:c r="K14" s="102" t="str">
        <x:v>中</x:v>
      </x:c>
      <x:c r="L14" s="94" t="str">
        <x:v>适合主动套磁或联合导师模式</x:v>
      </x:c>
      <x:c r="M14" s="102" t="str">
        <x:v>未联系</x:v>
      </x:c>
      <x:c r="N14" s="94" t="str">
        <x:v>https://www.massgeneral.org/cancer-center/clinical-trials-and-research/center-for-cancer-research/investigators/hacohen-lab</x:v>
      </x:c>
    </x:row>
    <x:row r="15" ht="56" customHeight="1">
      <x:c r="A15" s="102" t="n">
        <x:v>2</x:v>
      </x:c>
      <x:c r="B15" s="94" t="str">
        <x:v>Christine Chaffer + Peter Croucher</x:v>
      </x:c>
      <x:c r="C15" s="94" t="str">
        <x:v>Garvan Institute</x:v>
      </x:c>
      <x:c r="D15" s="94" t="str">
        <x:v>澳大利亚</x:v>
      </x:c>
      <x:c r="E15" s="94" t="str">
        <x:v>乳腺癌休眠、复发和特化转移生态位</x:v>
      </x:c>
      <x:c r="F15" s="94" t="str">
        <x:v>连接器官特异性免疫生态与休眠到转移生长的转换</x:v>
      </x:c>
      <x:c r="G15" s="100" t="n">
        <x:v>4.5</x:v>
      </x:c>
      <x:c r="H15" s="100" t="n">
        <x:v>4</x:v>
      </x:c>
      <x:c r="I15" s="100" t="n">
        <x:v>4</x:v>
      </x:c>
      <x:c r="J15" s="100" t="n">
        <x:f>ROUND(G15*0.5+H15*0.3+I15*0.2,1)</x:f>
        <x:v>4.3</x:v>
      </x:c>
      <x:c r="K15" s="102" t="str">
        <x:v>高</x:v>
      </x:c>
      <x:c r="L15" s="94" t="str">
        <x:v>适合主动套磁</x:v>
      </x:c>
      <x:c r="M15" s="102" t="str">
        <x:v>未联系</x:v>
      </x:c>
      <x:c r="N15" s="94" t="str">
        <x:v>https://www.garvan.org.au/research/research-programs/cancer-plasticity-and-dormancy</x:v>
      </x:c>
    </x:row>
    <x:row r="16" ht="56" customHeight="1">
      <x:c r="A16" s="102" t="n">
        <x:v>3</x:v>
      </x:c>
      <x:c r="B16" s="94" t="str">
        <x:v>Alex Shalek</x:v>
      </x:c>
      <x:c r="C16" s="94" t="str">
        <x:v>MIT / Broad / Ragon</x:v>
      </x:c>
      <x:c r="D16" s="94" t="str">
        <x:v>美国</x:v>
      </x:c>
      <x:c r="E16" s="94" t="str">
        <x:v>单细胞系统免疫学和多细胞响应建模</x:v>
      </x:c>
      <x:c r="F16" s="94" t="str">
        <x:v>偏方法/技术转向；通过联合导师保证癌症问题的中心地位</x:v>
      </x:c>
      <x:c r="G16" s="100" t="n">
        <x:v>3.5</x:v>
      </x:c>
      <x:c r="H16" s="100" t="n">
        <x:v>5</x:v>
      </x:c>
      <x:c r="I16" s="100" t="n">
        <x:v>3.5</x:v>
      </x:c>
      <x:c r="J16" s="100" t="n">
        <x:f>ROUND(G16*0.5+H16*0.3+I16*0.2,1)</x:f>
        <x:v>4</x:v>
      </x:c>
      <x:c r="K16" s="102" t="str">
        <x:v>中</x:v>
      </x:c>
      <x:c r="L16" s="94" t="str">
        <x:v>需要明确癌症合作项目</x:v>
      </x:c>
      <x:c r="M16" s="102" t="str">
        <x:v>未联系</x:v>
      </x:c>
      <x:c r="N16" s="94" t="str">
        <x:v>https://shaleklab.com/</x:v>
      </x:c>
    </x:row>
    <x:row r="17" ht="56" customHeight="1">
      <x:c r="A17" s="102" t="n">
        <x:v>3</x:v>
      </x:c>
      <x:c r="B17" s="94" t="str">
        <x:v>Trevor Pugh</x:v>
      </x:c>
      <x:c r="C17" s="94" t="str">
        <x:v>Princess Margaret / OICR</x:v>
      </x:c>
      <x:c r="D17" s="94" t="str">
        <x:v>加拿大</x:v>
      </x:c>
      <x:c r="E17" s="94" t="str">
        <x:v>连续活检、单细胞 RNA、免疫受体组和治疗相关克隆变化</x:v>
      </x:c>
      <x:c r="F17" s="94" t="str">
        <x:v>转向纵向临床基因组与治疗生态</x:v>
      </x:c>
      <x:c r="G17" s="100" t="n">
        <x:v>3.5</x:v>
      </x:c>
      <x:c r="H17" s="100" t="n">
        <x:v>4</x:v>
      </x:c>
      <x:c r="I17" s="100" t="n">
        <x:v>4</x:v>
      </x:c>
      <x:c r="J17" s="100" t="n">
        <x:f>ROUND(G17*0.5+H17*0.3+I17*0.2,1)</x:f>
        <x:v>3.8</x:v>
      </x:c>
      <x:c r="K17" s="102" t="str">
        <x:v>低</x:v>
      </x:c>
      <x:c r="L17" s="94" t="str">
        <x:v>适合主动套磁</x:v>
      </x:c>
      <x:c r="M17" s="102" t="str">
        <x:v>未联系</x:v>
      </x:c>
      <x:c r="N17" s="94" t="str">
        <x:v>https://oicr.on.ca/researchers/dr-trevor-pugh/</x:v>
      </x:c>
    </x:row>
  </x:sheetData>
  <x:conditionalFormatting sqref="J2:J17">
    <x:cfRule type="colorScale" priority="1">
      <x:colorScale>
        <x:cfvo type="min"/>
        <x:cfvo type="percentile" val="50"/>
        <x:cfvo type="max"/>
        <x:color rgb="FFFCE0DE"/>
        <x:color rgb="FFFFF1CC"/>
        <x:color rgb="FFDDF3E4"/>
      </x:colorScale>
    </x:cfRule>
  </x:conditionalFormatting>
  <x:conditionalFormatting sqref="A2:A17">
    <x:cfRule type="cellIs" dxfId="4" priority="2" operator="equal">
      <x:formula>1</x:formula>
    </x:cfRule>
    <x:cfRule type="cellIs" dxfId="5" priority="3" operator="equal">
      <x:formula>2</x:formula>
    </x:cfRule>
  </x:conditionalFormatting>
  <x:dataValidations count="1">
    <x:dataValidation type="list" sqref="M2:M17">
      <x:formula1>"未联系,已套磁,等待回复,面试中,已拒,Offer,暂停"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3eff1c2fc446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4" hidden="0" customWidth="1"/>
    <x:col min="4" max="4" width="28" hidden="0" customWidth="1"/>
    <x:col min="5" max="5" width="32" hidden="0" customWidth="1"/>
    <x:col min="6" max="6" width="24" hidden="0" customWidth="1"/>
    <x:col min="7" max="7" width="40" hidden="0" customWidth="1"/>
    <x:col min="8" max="8" width="10" hidden="0" customWidth="1"/>
    <x:col min="9" max="9" width="48" hidden="0" customWidth="1"/>
    <x:col min="10" max="10" width="14" hidden="0" customWidth="1"/>
    <x:col min="11" max="11" width="58" hidden="0" customWidth="1"/>
  </x:cols>
  <x:sheetData>
    <x:row r="1" ht="32" customHeight="1">
      <x:c r="A1" s="85" t="str">
        <x:v>优先级</x:v>
      </x:c>
      <x:c r="B1" s="86" t="str">
        <x:v>Fellowship</x:v>
      </x:c>
      <x:c r="C1" s="86" t="str">
        <x:v>适用地区</x:v>
      </x:c>
      <x:c r="D1" s="86" t="str">
        <x:v>下一相关时间</x:v>
      </x:c>
      <x:c r="E1" s="86" t="str">
        <x:v>博士学位条件</x:v>
      </x:c>
      <x:c r="F1" s="86" t="str">
        <x:v>国籍条件</x:v>
      </x:c>
      <x:c r="G1" s="86" t="str">
        <x:v>Host/Sponsor 要求</x:v>
      </x:c>
      <x:c r="H1" s="86" t="str">
        <x:v>匹配度</x:v>
      </x:c>
      <x:c r="I1" s="86" t="str">
        <x:v>建议动作</x:v>
      </x:c>
      <x:c r="J1" s="86" t="str">
        <x:v>准备状态</x:v>
      </x:c>
      <x:c r="K1" s="87" t="str">
        <x:v>官网</x:v>
      </x:c>
    </x:row>
    <x:row r="2" ht="64" customHeight="1">
      <x:c r="A2" s="101" t="str">
        <x:v>A+</x:v>
      </x:c>
      <x:c r="B2" s="93" t="str">
        <x:v>CRI Immuno-Informatics Postdoctoral Fellowship</x:v>
      </x:c>
      <x:c r="C2" s="93" t="str">
        <x:v>全球非营利机构</x:v>
      </x:c>
      <x:c r="D2" s="93" t="str">
        <x:v>2027-03-01；2026-09-01 可作为激进方案</x:v>
      </x:c>
      <x:c r="E2" s="93" t="str">
        <x:v>资助启动前获得博士即可</x:v>
      </x:c>
      <x:c r="F2" s="93" t="str">
        <x:v>无国籍限制</x:v>
      </x:c>
      <x:c r="G2" s="93" t="str">
        <x:v>需 host sponsor；每位 sponsor 每轮仅 1 名申请人</x:v>
      </x:c>
      <x:c r="H2" s="99" t="n">
        <x:v>5</x:v>
      </x:c>
      <x:c r="I2" s="93" t="str">
        <x:v>立即确定导师；若方案不成熟则主攻 2027-03</x:v>
      </x:c>
      <x:c r="J2" s="101" t="str">
        <x:v>未开始</x:v>
      </x:c>
      <x:c r="K2" s="93" t="str">
        <x:v>https://www.cancerresearch.org/immuno-informatics-postdoctoral-fellowship</x:v>
      </x:c>
    </x:row>
    <x:row r="3" ht="64" customHeight="1">
      <x:c r="A3" s="102" t="str">
        <x:v>A+</x:v>
      </x:c>
      <x:c r="B3" s="94" t="str">
        <x:v>EMBO Postdoctoral Fellowship</x:v>
      </x:c>
      <x:c r="C3" s="94" t="str">
        <x:v>欧洲及符合规则的国际流动</x:v>
      </x:c>
      <x:c r="D3" s="94" t="str">
        <x:v>下一评审截止预计 2027-01-22</x:v>
      </x:c>
      <x:c r="E3" s="94" t="str">
        <x:v>fellowship 开始前获得博士；需至少一篇已接收一作论文</x:v>
      </x:c>
      <x:c r="F3" s="94" t="str">
        <x:v>受 host/mobility 规则限制</x:v>
      </x:c>
      <x:c r="G3" s="94" t="str">
        <x:v>需接收实验室确认；项目不能直接延续博士课题</x:v>
      </x:c>
      <x:c r="H3" s="100" t="n">
        <x:v>5</x:v>
      </x:c>
      <x:c r="I3" s="94" t="str">
        <x:v>将方案转向空间组学或因果扰动，准备 2027-01 轮次</x:v>
      </x:c>
      <x:c r="J3" s="102" t="str">
        <x:v>未开始</x:v>
      </x:c>
      <x:c r="K3" s="94" t="str">
        <x:v>https://www.embo.org/funding/fellowships-grants-and-career-support/postdoctoral-fellowships/eligibility/</x:v>
      </x:c>
    </x:row>
    <x:row r="4" ht="64" customHeight="1">
      <x:c r="A4" s="102" t="str">
        <x:v>A</x:v>
      </x:c>
      <x:c r="B4" s="94" t="str">
        <x:v>MSCA Postdoctoral Fellowship</x:v>
      </x:c>
      <x:c r="C4" s="94" t="str">
        <x:v>欧盟/关联国 host</x:v>
      </x:c>
      <x:c r="D4" s="94" t="str">
        <x:v>预计 2027-09；正式日期待发布</x:v>
      </x:c>
      <x:c r="E4" s="94" t="str">
        <x:v>截止日前必须获得博士或完成答辩</x:v>
      </x:c>
      <x:c r="F4" s="94" t="str">
        <x:v>任何国籍均可申请 European PF</x:v>
      </x:c>
      <x:c r="G4" s="94" t="str">
        <x:v>与 host 联合提交，受 mobility rule 限制</x:v>
      </x:c>
      <x:c r="H4" s="100" t="n">
        <x:v>4.5</x:v>
      </x:c>
      <x:c r="I4" s="94" t="str">
        <x:v>2027 年答辩后与欧洲导师共同申请</x:v>
      </x:c>
      <x:c r="J4" s="102" t="str">
        <x:v>未开始</x:v>
      </x:c>
      <x:c r="K4" s="94" t="str">
        <x:v>https://marie-sklodowska-curie-actions.ec.europa.eu/funding/msca-postdoctoral-fellowships-2026</x:v>
      </x:c>
    </x:row>
    <x:row r="5" ht="64" customHeight="1">
      <x:c r="A5" s="102" t="str">
        <x:v>A</x:v>
      </x:c>
      <x:c r="B5" s="94" t="str">
        <x:v>Damon Runyon Fellowship</x:v>
      </x:c>
      <x:c r="C5" s="94" t="str">
        <x:v>癌症研究；host 规则需逐轮确认</x:v>
      </x:c>
      <x:c r="D5" s="94" t="str">
        <x:v>2027-03-15；之后轮次需复核</x:v>
      </x:c>
      <x:c r="E5" s="94" t="str">
        <x:v>截止日前必须正式授予博士学位</x:v>
      </x:c>
      <x:c r="F5" s="94" t="str">
        <x:v>按当轮规则核验</x:v>
      </x:c>
      <x:c r="G5" s="94" t="str">
        <x:v>需 sponsor；项目不应直接延续博士工作</x:v>
      </x:c>
      <x:c r="H5" s="100" t="n">
        <x:v>4.5</x:v>
      </x:c>
      <x:c r="I5" s="94" t="str">
        <x:v>仅在 2027-03 前正式获学位时申请该轮</x:v>
      </x:c>
      <x:c r="J5" s="102" t="str">
        <x:v>未开始</x:v>
      </x:c>
      <x:c r="K5" s="94" t="str">
        <x:v>https://www.damonrunyon.org/for-scientists/application-guidelines/fellowship/forms</x:v>
      </x:c>
    </x:row>
    <x:row r="6" ht="64" customHeight="1">
      <x:c r="A6" s="102" t="str">
        <x:v>B+</x:v>
      </x:c>
      <x:c r="B6" s="94" t="str">
        <x:v>HFSP Postdoctoral Fellowship</x:v>
      </x:c>
      <x:c r="C6" s="94" t="str">
        <x:v>国际流动至 HFSPO 成员国</x:v>
      </x:c>
      <x:c r="D6" s="94" t="str">
        <x:v>2028 cycle 预计 2027 年开放，待官网更新</x:v>
      </x:c>
      <x:c r="E6" s="94" t="str">
        <x:v>申请时可未毕业，启动前须完成博士</x:v>
      </x:c>
      <x:c r="F6" s="94" t="str">
        <x:v>国际流动限制严格</x:v>
      </x:c>
      <x:c r="G6" s="94" t="str">
        <x:v>需 host；课题须明显区别于博士工作</x:v>
      </x:c>
      <x:c r="H6" s="100" t="n">
        <x:v>4</x:v>
      </x:c>
      <x:c r="I6" s="94" t="str">
        <x:v>适合大胆转向空间技术、成像、系统建模或扰动实验</x:v>
      </x:c>
      <x:c r="J6" s="102" t="str">
        <x:v>监测中</x:v>
      </x:c>
      <x:c r="K6" s="94" t="str">
        <x:v>https://www.hfsp.org/funding/hfsp-funding/postdoctoral-fellowships</x:v>
      </x:c>
    </x:row>
  </x:sheetData>
  <x:conditionalFormatting sqref="A2:A6">
    <x:cfRule type="cellIs" dxfId="6" priority="1" operator="equal">
      <x:formula>"A+"</x:formula>
    </x:cfRule>
    <x:cfRule type="cellIs" dxfId="7" priority="2" operator="equal">
      <x:formula>"A"</x:formula>
    </x:cfRule>
    <x:cfRule type="cellIs" dxfId="8" priority="3" operator="equal">
      <x:formula>"A-"</x:formula>
    </x:cfRule>
    <x:cfRule type="beginsWith" dxfId="9" priority="4" operator="beginsWith" text="B"/>
  </x:conditionalFormatting>
  <x:dataValidations count="1">
    <x:dataValidation type="list" sqref="J2:J6">
      <x:formula1>"未开始,进行中,已完成,等待外部,暂停"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be3f4f31c140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8" hidden="0" customWidth="1"/>
    <x:col min="5" max="5" width="14" hidden="0" customWidth="1"/>
    <x:col min="6" max="6" width="58" hidden="0" customWidth="1"/>
  </x:cols>
  <x:sheetData>
    <x:row r="1" ht="32" customHeight="1">
      <x:c r="A1" s="85" t="str">
        <x:v>目标日期</x:v>
      </x:c>
      <x:c r="B1" s="86" t="str">
        <x:v>任务</x:v>
      </x:c>
      <x:c r="C1" s="86" t="str">
        <x:v>对象/范围</x:v>
      </x:c>
      <x:c r="D1" s="86" t="str">
        <x:v>交付物</x:v>
      </x:c>
      <x:c r="E1" s="86" t="str">
        <x:v>状态</x:v>
      </x:c>
      <x:c r="F1" s="87" t="str">
        <x:v>备注</x:v>
      </x:c>
    </x:row>
    <x:row r="2" ht="42" customHeight="1">
      <x:c r="A2" s="107" t="n">
        <x:v>46208</x:v>
      </x:c>
      <x:c r="B2" s="93" t="str">
        <x:v>确定博后模式</x:v>
      </x:c>
      <x:c r="C2" s="93" t="str">
        <x:v>计算为主 vs 混合湿/干</x:v>
      </x:c>
      <x:c r="D2" s="93" t="str">
        <x:v>一页选择标准</x:v>
      </x:c>
      <x:c r="E2" s="101" t="str">
        <x:v>未开始</x:v>
      </x:c>
      <x:c r="F2" s="93" t="str">
        <x:v>决定是否把 Joyce、de Visser、Bowtell、SIgN 提到最高优先级</x:v>
      </x:c>
    </x:row>
    <x:row r="3" ht="42" customHeight="1">
      <x:c r="A3" s="108" t="n">
        <x:v>46213</x:v>
      </x:c>
      <x:c r="B3" s="94" t="str">
        <x:v>整理英文 CV</x:v>
      </x:c>
      <x:c r="C3" s="94" t="str">
        <x:v>两页学术 CV</x:v>
      </x:c>
      <x:c r="D3" s="94" t="str">
        <x:v>CV v1</x:v>
      </x:c>
      <x:c r="E3" s="102" t="str">
        <x:v>未开始</x:v>
      </x:c>
      <x:c r="F3" s="94" t="str">
        <x:v>突出配对原发-转移、CoVarNet、LR/CellChat、临床和代谢整合</x:v>
      </x:c>
    </x:row>
    <x:row r="4" ht="42" customHeight="1">
      <x:c r="A4" s="108" t="n">
        <x:v>46218</x:v>
      </x:c>
      <x:c r="B4" s="94" t="str">
        <x:v>整理研究摘要</x:v>
      </x:c>
      <x:c r="C4" s="94" t="str">
        <x:v>一页 research summary</x:v>
      </x:c>
      <x:c r="D4" s="94" t="str">
        <x:v>Research summary v1</x:v>
      </x:c>
      <x:c r="E4" s="102" t="str">
        <x:v>未开始</x:v>
      </x:c>
      <x:c r="F4" s="94" t="str">
        <x:v>结尾明确希望补足空间组学和因果扰动</x:v>
      </x:c>
    </x:row>
    <x:row r="5" ht="42" customHeight="1">
      <x:c r="A5" s="108" t="n">
        <x:v>46223</x:v>
      </x:c>
      <x:c r="B5" s="94" t="str">
        <x:v>准备作品集</x:v>
      </x:c>
      <x:c r="C5" s="94" t="str">
        <x:v>代码/图形/论文链接</x:v>
      </x:c>
      <x:c r="D5" s="94" t="str">
        <x:v>Portfolio</x:v>
      </x:c>
      <x:c r="E5" s="102" t="str">
        <x:v>未开始</x:v>
      </x:c>
      <x:c r="F5" s="94" t="str">
        <x:v>包含 2-3 张最能体现模块中心逻辑的图</x:v>
      </x:c>
    </x:row>
    <x:row r="6" ht="42" customHeight="1">
      <x:c r="A6" s="108" t="n">
        <x:v>46228</x:v>
      </x:c>
      <x:c r="B6" s="94" t="str">
        <x:v>第一批套磁</x:v>
      </x:c>
      <x:c r="C6" s="94" t="str">
        <x:v>Tier 1 前 4 位</x:v>
      </x:c>
      <x:c r="D6" s="94" t="str">
        <x:v>4 封定制邮件</x:v>
      </x:c>
      <x:c r="E6" s="102" t="str">
        <x:v>未开始</x:v>
      </x:c>
      <x:c r="F6" s="94" t="str">
        <x:v>Curtis、Swarbrick、Joyce、Shah</x:v>
      </x:c>
    </x:row>
    <x:row r="7" ht="42" customHeight="1">
      <x:c r="A7" s="108" t="n">
        <x:v>46235</x:v>
      </x:c>
      <x:c r="B7" s="94" t="str">
        <x:v>第二批套磁</x:v>
      </x:c>
      <x:c r="C7" s="94" t="str">
        <x:v>Tier 1 后 3 位 + 方法组</x:v>
      </x:c>
      <x:c r="D7" s="94" t="str">
        <x:v>4 封定制邮件</x:v>
      </x:c>
      <x:c r="E7" s="102" t="str">
        <x:v>未开始</x:v>
      </x:c>
      <x:c r="F7" s="94" t="str">
        <x:v>Pe'er、Lambrechts/Saeys、Plevritis、Gu/KH Chen</x:v>
      </x:c>
    </x:row>
    <x:row r="8" ht="42" customHeight="1">
      <x:c r="A8" s="108" t="n">
        <x:v>46244</x:v>
      </x:c>
      <x:c r="B8" s="94" t="str">
        <x:v>评估 CRI 2026-09</x:v>
      </x:c>
      <x:c r="C8" s="94" t="str">
        <x:v>host 与项目成熟度</x:v>
      </x:c>
      <x:c r="D8" s="94" t="str">
        <x:v>Go/No-go 决策</x:v>
      </x:c>
      <x:c r="E8" s="102" t="str">
        <x:v>未开始</x:v>
      </x:c>
      <x:c r="F8" s="94" t="str">
        <x:v>没有明确 sponsor 时不要仓促提交</x:v>
      </x:c>
    </x:row>
    <x:row r="9" ht="42" customHeight="1">
      <x:c r="A9" s="108" t="n">
        <x:v>46266</x:v>
      </x:c>
      <x:c r="B9" s="94" t="str">
        <x:v>CRI 申请或转入 2027-03</x:v>
      </x:c>
      <x:c r="C9" s="94" t="str">
        <x:v>CRI Immuno-Informatics</x:v>
      </x:c>
      <x:c r="D9" s="94" t="str">
        <x:v>提交或完整草案</x:v>
      </x:c>
      <x:c r="E9" s="102" t="str">
        <x:v>未开始</x:v>
      </x:c>
      <x:c r="F9" s="94" t="str">
        <x:v>每位 sponsor 每轮仅能推一名申请人</x:v>
      </x:c>
    </x:row>
    <x:row r="10" ht="42" customHeight="1">
      <x:c r="A10" s="108" t="n">
        <x:v>46371</x:v>
      </x:c>
      <x:c r="B10" s="94" t="str">
        <x:v>检查 2027 cohort</x:v>
      </x:c>
      <x:c r="C10" s="94" t="str">
        <x:v>DFCI、MSK、Stanford、Crick、NKI、VIB、Garvan</x:v>
      </x:c>
      <x:c r="D10" s="94" t="str">
        <x:v>更新岗位表</x:v>
      </x:c>
      <x:c r="E10" s="102" t="str">
        <x:v>未开始</x:v>
      </x:c>
      <x:c r="F10" s="94" t="str">
        <x:v>每月刷新一次</x:v>
      </x:c>
    </x:row>
    <x:row r="11" ht="42" customHeight="1">
      <x:c r="A11" s="108" t="n">
        <x:v>46397</x:v>
      </x:c>
      <x:c r="B11" s="94" t="str">
        <x:v>EMBO 最终材料</x:v>
      </x:c>
      <x:c r="C11" s="94" t="str">
        <x:v>论文资格、host、proposal</x:v>
      </x:c>
      <x:c r="D11" s="94" t="str">
        <x:v>提交前版本</x:v>
      </x:c>
      <x:c r="E11" s="102" t="str">
        <x:v>未开始</x:v>
      </x:c>
      <x:c r="F11" s="94" t="str">
        <x:v>课题不能直接延续博士工作</x:v>
      </x:c>
    </x:row>
    <x:row r="12" ht="42" customHeight="1">
      <x:c r="A12" s="108" t="n">
        <x:v>46447</x:v>
      </x:c>
      <x:c r="B12" s="94" t="str">
        <x:v>CRI 2027 春季轮</x:v>
      </x:c>
      <x:c r="C12" s="94" t="str">
        <x:v>CRI Immuno-Informatics</x:v>
      </x:c>
      <x:c r="D12" s="94" t="str">
        <x:v>正式提交</x:v>
      </x:c>
      <x:c r="E12" s="102" t="str">
        <x:v>未开始</x:v>
      </x:c>
      <x:c r="F12" s="94" t="str">
        <x:v>提前至少 8 周启动</x:v>
      </x:c>
    </x:row>
    <x:row r="13" ht="42" customHeight="1">
      <x:c r="A13" s="108" t="n">
        <x:v>46539</x:v>
      </x:c>
      <x:c r="B13" s="94" t="str">
        <x:v>MSCA 2027 启动</x:v>
      </x:c>
      <x:c r="C13" s="94" t="str">
        <x:v>欧洲 host 与 proposal</x:v>
      </x:c>
      <x:c r="D13" s="94" t="str">
        <x:v>完整框架</x:v>
      </x:c>
      <x:c r="E13" s="102" t="str">
        <x:v>未开始</x:v>
      </x:c>
      <x:c r="F13" s="94" t="str">
        <x:v>正式日期发布后更新</x:v>
      </x:c>
    </x:row>
  </x:sheetData>
  <x:conditionalFormatting sqref="E2:E13">
    <x:cfRule type="cellIs" dxfId="10" priority="1" operator="equal">
      <x:formula>"已完成"</x:formula>
    </x:cfRule>
    <x:cfRule type="cellIs" dxfId="11" priority="2" operator="equal">
      <x:formula>"进行中"</x:formula>
    </x:cfRule>
  </x:conditionalFormatting>
  <x:dataValidations count="1">
    <x:dataValidation type="list" sqref="E2:E13">
      <x:formula1>"未开始,进行中,已完成,等待外部,暂停"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59f7015714ead"/>
  </x:tableParts>
</x:worksheet>
</file>